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📋 Summary" sheetId="1" state="visible" r:id="rId3"/>
    <sheet name="📦 Product Backlog" sheetId="2" state="visible" r:id="rId4"/>
    <sheet name="🗓️ Sprint Plan" sheetId="3" state="visible" r:id="rId5"/>
    <sheet name="🏗️ Epic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<sst xmlns="http://schemas.openxmlformats.org/spreadsheetml/2006/main" count="2256" uniqueCount="670">
  <si>
    <t xml:space="preserve">🏥  Hospital Management System</t>
  </si>
  <si>
    <t xml:space="preserve">Product Backlog · Version 3.0 (Optimized) · Re-baselined 2026-07-04 against actual codebase</t>
  </si>
  <si>
    <t xml:space="preserve">21 Epics · 124 Features · 10 Sprints + Future Backlog · Statuses synced with Laravel/React implementation</t>
  </si>
  <si>
    <t xml:space="preserve">Metric</t>
  </si>
  <si>
    <t xml:space="preserve">Value</t>
  </si>
  <si>
    <t xml:space="preserve">Status</t>
  </si>
  <si>
    <t xml:space="preserve">Features</t>
  </si>
  <si>
    <t xml:space="preserve">Story Points</t>
  </si>
  <si>
    <t xml:space="preserve">% of SP</t>
  </si>
  <si>
    <t xml:space="preserve">Total Features</t>
  </si>
  <si>
    <t xml:space="preserve">Done</t>
  </si>
  <si>
    <t xml:space="preserve">Total Story Points</t>
  </si>
  <si>
    <t xml:space="preserve">In Progress</t>
  </si>
  <si>
    <t xml:space="preserve">Not Started</t>
  </si>
  <si>
    <t xml:space="preserve">DELIVERY PLAN (2-WEEK SPRINTS)</t>
  </si>
  <si>
    <t xml:space="preserve">Sprint</t>
  </si>
  <si>
    <t xml:space="preserve">Goal</t>
  </si>
  <si>
    <t xml:space="preserve">Start</t>
  </si>
  <si>
    <t xml:space="preserve">End</t>
  </si>
  <si>
    <t xml:space="preserve">Delivered</t>
  </si>
  <si>
    <t xml:space="preserve">Already built: platform, RBAC, workflow engine, inventory, patients, appointments, OPD core</t>
  </si>
  <si>
    <t xml:space="preserve">—</t>
  </si>
  <si>
    <t xml:space="preserve">Sprint 1</t>
  </si>
  <si>
    <t xml:space="preserve">Close out OPD clinical core: queue board, SOAP notes, e-Rx, payments, system-wide audit</t>
  </si>
  <si>
    <t xml:space="preserve">2026-07-06</t>
  </si>
  <si>
    <t xml:space="preserve">2026-07-17</t>
  </si>
  <si>
    <t xml:space="preserve">Planned</t>
  </si>
  <si>
    <t xml:space="preserve">Sprint 2</t>
  </si>
  <si>
    <t xml:space="preserve">Pharmacy foundation &amp; procurement — drug master, stock/expiry, PO (reuse inventory engine)</t>
  </si>
  <si>
    <t xml:space="preserve">2026-07-20</t>
  </si>
  <si>
    <t xml:space="preserve">2026-07-31</t>
  </si>
  <si>
    <t xml:space="preserve">Sprint 3</t>
  </si>
  <si>
    <t xml:space="preserve">Dispensing safety (interactions, controlled drugs), Doctor Portal, OPD extensions</t>
  </si>
  <si>
    <t xml:space="preserve">2026-08-03</t>
  </si>
  <si>
    <t xml:space="preserve">2026-08-14</t>
  </si>
  <si>
    <t xml:space="preserve">Sprint 4</t>
  </si>
  <si>
    <t xml:space="preserve">IPD core: bed dashboard, admission, ward transfer, IPD billing, advances</t>
  </si>
  <si>
    <t xml:space="preserve">2026-08-17</t>
  </si>
  <si>
    <t xml:space="preserve">2026-08-28</t>
  </si>
  <si>
    <t xml:space="preserve">Sprint 5</t>
  </si>
  <si>
    <t xml:space="preserve">Nursing (MAR, charts), discharge summary, emergency triage, EMR history</t>
  </si>
  <si>
    <t xml:space="preserve">2026-08-31</t>
  </si>
  <si>
    <t xml:space="preserve">2026-09-11</t>
  </si>
  <si>
    <t xml:space="preserve">Sprint 6</t>
  </si>
  <si>
    <t xml:space="preserve">Laboratory (LIS) core: catalog→order→sample→result→report + notifications, backup</t>
  </si>
  <si>
    <t xml:space="preserve">2026-09-14</t>
  </si>
  <si>
    <t xml:space="preserve">2026-09-25</t>
  </si>
  <si>
    <t xml:space="preserve">Sprint 7</t>
  </si>
  <si>
    <t xml:space="preserve">Insurance/TPA &amp; package billing, radiology orders/reporting, SMS reminders</t>
  </si>
  <si>
    <t xml:space="preserve">2026-09-28</t>
  </si>
  <si>
    <t xml:space="preserve">2026-10-09</t>
  </si>
  <si>
    <t xml:space="preserve">Sprint 8</t>
  </si>
  <si>
    <t xml:space="preserve">Reports/MIS dashboards + Patient Portal + online booking completion</t>
  </si>
  <si>
    <t xml:space="preserve">2026-10-12</t>
  </si>
  <si>
    <t xml:space="preserve">2026-10-23</t>
  </si>
  <si>
    <t xml:space="preserve">Sprint 9</t>
  </si>
  <si>
    <t xml:space="preserve">Surgery/OT, claims lifecycle, HR attendance/leave, chronic disease care</t>
  </si>
  <si>
    <t xml:space="preserve">2026-10-26</t>
  </si>
  <si>
    <t xml:space="preserve">2026-11-06</t>
  </si>
  <si>
    <t xml:space="preserve">Sprint 10</t>
  </si>
  <si>
    <t xml:space="preserve">Blood bank, lab QC &amp; machine interfacing, portal payments, QR check-in</t>
  </si>
  <si>
    <t xml:space="preserve">2026-11-09</t>
  </si>
  <si>
    <t xml:space="preserve">2026-11-20</t>
  </si>
  <si>
    <t xml:space="preserve">Sprint 11+</t>
  </si>
  <si>
    <t xml:space="preserve">Future backlog: mobile apps, telemedicine, DICOM/PACS, custom report builder</t>
  </si>
  <si>
    <t xml:space="preserve">TBD</t>
  </si>
  <si>
    <t xml:space="preserve">LEGEND</t>
  </si>
  <si>
    <t xml:space="preserve">Must Have</t>
  </si>
  <si>
    <t xml:space="preserve">Should Have</t>
  </si>
  <si>
    <t xml:space="preserve">Could Have</t>
  </si>
  <si>
    <t xml:space="preserve">Done ✓</t>
  </si>
  <si>
    <t xml:space="preserve">In Progress ◐</t>
  </si>
  <si>
    <t xml:space="preserve">Epic ID</t>
  </si>
  <si>
    <t xml:space="preserve">Epic Name</t>
  </si>
  <si>
    <t xml:space="preserve">Feature ID</t>
  </si>
  <si>
    <t xml:space="preserve">Feature Name</t>
  </si>
  <si>
    <t xml:space="preserve">Priority</t>
  </si>
  <si>
    <t xml:space="preserve">Complexity</t>
  </si>
  <si>
    <t xml:space="preserve">SP</t>
  </si>
  <si>
    <t xml:space="preserve">Phase</t>
  </si>
  <si>
    <t xml:space="preserve">Target Sprint</t>
  </si>
  <si>
    <t xml:space="preserve">Acceptance Criteria</t>
  </si>
  <si>
    <t xml:space="preserve">Dependencies</t>
  </si>
  <si>
    <t xml:space="preserve">Notes / Context</t>
  </si>
  <si>
    <t xml:space="preserve">EPIC-01</t>
  </si>
  <si>
    <t xml:space="preserve">Patient Management</t>
  </si>
  <si>
    <t xml:space="preserve">F-01-01</t>
  </si>
  <si>
    <t xml:space="preserve">Patient Registration &amp; UHID Generation</t>
  </si>
  <si>
    <t xml:space="preserve">High</t>
  </si>
  <si>
    <t xml:space="preserve">Phase 1 ✓</t>
  </si>
  <si>
    <t xml:space="preserve">Patient registered with UHID; duplicate check triggered; confirmation SMS sent</t>
  </si>
  <si>
    <t xml:space="preserve">Core registration with auto UHID generation | ✓ Built: patients table, MRN via code_sequences, controller + React module</t>
  </si>
  <si>
    <t xml:space="preserve">F-01-02</t>
  </si>
  <si>
    <t xml:space="preserve">Patient Search &amp; Advanced Filter</t>
  </si>
  <si>
    <t xml:space="preserve">Medium</t>
  </si>
  <si>
    <t xml:space="preserve">Search returns results within 1 sec; filters by DOB, gender, ward</t>
  </si>
  <si>
    <t xml:space="preserve">Quick search by name / phone / UHID | ✓ Built: PatientList filter/search UI</t>
  </si>
  <si>
    <t xml:space="preserve">F-01-03</t>
  </si>
  <si>
    <t xml:space="preserve">Patient Demographics Management</t>
  </si>
  <si>
    <t xml:space="preserve">All demographic fields editable; change history stored</t>
  </si>
  <si>
    <t xml:space="preserve">Complete patient profile management | ✓ Built: patient form/view CRUD</t>
  </si>
  <si>
    <t xml:space="preserve">F-01-04</t>
  </si>
  <si>
    <t xml:space="preserve">Merge Duplicate Patient Records</t>
  </si>
  <si>
    <t xml:space="preserve">Phase 2</t>
  </si>
  <si>
    <t xml:space="preserve">Admin can merge two records; audit log captures action</t>
  </si>
  <si>
    <t xml:space="preserve">F-01-01, F-01-03</t>
  </si>
  <si>
    <t xml:space="preserve">Admin function for deduplication</t>
  </si>
  <si>
    <t xml:space="preserve">F-01-05</t>
  </si>
  <si>
    <t xml:space="preserve">Patient Photo &amp; Document Upload</t>
  </si>
  <si>
    <t xml:space="preserve">Low</t>
  </si>
  <si>
    <t xml:space="preserve">Phase 3</t>
  </si>
  <si>
    <t xml:space="preserve">Supports JPEG/PNG/PDF; max 10 MB; linked to patient record</t>
  </si>
  <si>
    <t xml:space="preserve">Attach photos and supporting documents</t>
  </si>
  <si>
    <t xml:space="preserve">EPIC-02</t>
  </si>
  <si>
    <t xml:space="preserve">Appointment System</t>
  </si>
  <si>
    <t xml:space="preserve">F-02-01</t>
  </si>
  <si>
    <t xml:space="preserve">Doctor Schedule Configuration</t>
  </si>
  <si>
    <t xml:space="preserve">Doctor sets weekly template; exception days blocked</t>
  </si>
  <si>
    <t xml:space="preserve">F-01-01, F-13-01</t>
  </si>
  <si>
    <t xml:space="preserve">Weekly schedule with time slot setup | ✓ Built: doctor_schedules + slots + UI</t>
  </si>
  <si>
    <t xml:space="preserve">F-02-02</t>
  </si>
  <si>
    <t xml:space="preserve">Online Appointment Booking</t>
  </si>
  <si>
    <t xml:space="preserve">Phase 4</t>
  </si>
  <si>
    <t xml:space="preserve">Patient books within 3 steps; confirmation shown &amp; emailed</t>
  </si>
  <si>
    <t xml:space="preserve">Patient-facing portal booking | ◐ staff-side booking done; patient-facing portal booking pending</t>
  </si>
  <si>
    <t xml:space="preserve">F-02-03</t>
  </si>
  <si>
    <t xml:space="preserve">Walk-in Registration &amp; Token Generation</t>
  </si>
  <si>
    <t xml:space="preserve">Token printed in &lt; 10 sec; queue display updated</t>
  </si>
  <si>
    <t xml:space="preserve">Reception desk quick registration | ✓ Built: WalkIn controller + opd_visit_sequences token</t>
  </si>
  <si>
    <t xml:space="preserve">F-02-04</t>
  </si>
  <si>
    <t xml:space="preserve">Appointment Rescheduling &amp; Cancellation</t>
  </si>
  <si>
    <t xml:space="preserve">Reschedule/cancel available up to 2 h before appointment</t>
  </si>
  <si>
    <t xml:space="preserve">F-02-02, F-02-03</t>
  </si>
  <si>
    <t xml:space="preserve">Self-service and reception-managed | ◐ appointment status + audit logs exist; polish reschedule UX</t>
  </si>
  <si>
    <t xml:space="preserve">F-02-05</t>
  </si>
  <si>
    <t xml:space="preserve">SMS/Email Appointment Reminders</t>
  </si>
  <si>
    <t xml:space="preserve">Reminder sent 24 h and 2 h before appointment</t>
  </si>
  <si>
    <t xml:space="preserve">Integration with SMS gateway</t>
  </si>
  <si>
    <t xml:space="preserve">F-02-06</t>
  </si>
  <si>
    <t xml:space="preserve">Appointment Waitlist Management</t>
  </si>
  <si>
    <t xml:space="preserve">Waitlisted patient auto-notified on cancellation slot</t>
  </si>
  <si>
    <t xml:space="preserve">Auto-promote from waitlist on cancellation | ✓ Built: appointment_waitlists + controller</t>
  </si>
  <si>
    <t xml:space="preserve">F-02-07</t>
  </si>
  <si>
    <t xml:space="preserve">Doctor Leave Management</t>
  </si>
  <si>
    <t xml:space="preserve">Leave blocks slots; patients on those dates get alternate options</t>
  </si>
  <si>
    <t xml:space="preserve">Block slots during leave; auto-notify patients | ✓ Built: doctor_schedule_exceptions</t>
  </si>
  <si>
    <t xml:space="preserve">F-02-08</t>
  </si>
  <si>
    <t xml:space="preserve">QR Code Check-in</t>
  </si>
  <si>
    <t xml:space="preserve">QR scan updates check-in status in &lt; 3 sec</t>
  </si>
  <si>
    <t xml:space="preserve">Self check-in at reception kiosks</t>
  </si>
  <si>
    <t xml:space="preserve">F-02-09</t>
  </si>
  <si>
    <t xml:space="preserve">Online Payment During Booking</t>
  </si>
  <si>
    <t xml:space="preserve">Payment gateway returns success/failure; booking confirmed on success</t>
  </si>
  <si>
    <t xml:space="preserve">Payment gateway integration for prepaid bookings</t>
  </si>
  <si>
    <t xml:space="preserve">EPIC-03</t>
  </si>
  <si>
    <t xml:space="preserve">OPD Management</t>
  </si>
  <si>
    <t xml:space="preserve">F-03-01</t>
  </si>
  <si>
    <t xml:space="preserve">Patient Queue Management with Display Board</t>
  </si>
  <si>
    <t xml:space="preserve">Queue board updates in real-time; token called via audio/visual</t>
  </si>
  <si>
    <t xml:space="preserve">Digital queue board for waiting area | ◐ Queue controller exists; display board pending</t>
  </si>
  <si>
    <t xml:space="preserve">F-03-02</t>
  </si>
  <si>
    <t xml:space="preserve">Clinical Documentation (SOAP Notes)</t>
  </si>
  <si>
    <t xml:space="preserve">SOAP notes saved per visit; previous notes read-only</t>
  </si>
  <si>
    <t xml:space="preserve">F-03-01, F-16-01</t>
  </si>
  <si>
    <t xml:space="preserve">Core EMR – Subjective/Objective/Assessment/Plan | ◐ opd_visits + diagnoses exist; full SOAP structure pending</t>
  </si>
  <si>
    <t xml:space="preserve">F-03-03</t>
  </si>
  <si>
    <t xml:space="preserve">Vital Signs Recording</t>
  </si>
  <si>
    <t xml:space="preserve">Vitals recorded with timestamp; out-of-range values flagged</t>
  </si>
  <si>
    <t xml:space="preserve">BP, Temp, Pulse, SPO2, Weight, Height | ✓ Built: opd_vitals + controller</t>
  </si>
  <si>
    <t xml:space="preserve">F-03-04</t>
  </si>
  <si>
    <t xml:space="preserve">e-Prescription Writing</t>
  </si>
  <si>
    <t xml:space="preserve">Prescription contains drug, dose, frequency, duration; PDF printable</t>
  </si>
  <si>
    <t xml:space="preserve">F-03-02, F-07-01</t>
  </si>
  <si>
    <t xml:space="preserve">With integrated drug database | ◐ opd_prescriptions + items exist; drug DB link + PDF pending</t>
  </si>
  <si>
    <t xml:space="preserve">F-03-05</t>
  </si>
  <si>
    <t xml:space="preserve">ICD-10 Code Integration</t>
  </si>
  <si>
    <t xml:space="preserve">Diagnosis linked to ICD-10 code; code searchable by keyword</t>
  </si>
  <si>
    <t xml:space="preserve">Diagnosis coding for billing &amp; reporting</t>
  </si>
  <si>
    <t xml:space="preserve">F-03-06</t>
  </si>
  <si>
    <t xml:space="preserve">Diagnosis &amp; Prescription Templates</t>
  </si>
  <si>
    <t xml:space="preserve">Doctor saves template; reuses in one click</t>
  </si>
  <si>
    <t xml:space="preserve">Doctor-specific reusable templates</t>
  </si>
  <si>
    <t xml:space="preserve">F-03-07</t>
  </si>
  <si>
    <t xml:space="preserve">Clinical Pathways</t>
  </si>
  <si>
    <t xml:space="preserve">Future</t>
  </si>
  <si>
    <t xml:space="preserve">Pathway steps shown with evidence level; completion tracked</t>
  </si>
  <si>
    <t xml:space="preserve">Evidence-based care pathway guidance</t>
  </si>
  <si>
    <t xml:space="preserve">F-03-08</t>
  </si>
  <si>
    <t xml:space="preserve">Referral Management</t>
  </si>
  <si>
    <t xml:space="preserve">Referral letter generated; receiving doctor notified</t>
  </si>
  <si>
    <t xml:space="preserve">Internal &amp; external specialist referrals</t>
  </si>
  <si>
    <t xml:space="preserve">F-03-09</t>
  </si>
  <si>
    <t xml:space="preserve">Follow-up Scheduling from OPD</t>
  </si>
  <si>
    <t xml:space="preserve">Follow-up date set; reminder triggered 24 h before</t>
  </si>
  <si>
    <t xml:space="preserve">F-03-02, F-02-01</t>
  </si>
  <si>
    <t xml:space="preserve">Auto-schedule next visit after consultation</t>
  </si>
  <si>
    <t xml:space="preserve">F-03-10</t>
  </si>
  <si>
    <t xml:space="preserve">Procedure Recording</t>
  </si>
  <si>
    <t xml:space="preserve">Procedure recorded with CPT code; charge auto-added to bill</t>
  </si>
  <si>
    <t xml:space="preserve">F-03-02, F-08-01</t>
  </si>
  <si>
    <t xml:space="preserve">Minor procedures during OPD visit</t>
  </si>
  <si>
    <t xml:space="preserve">EPIC-04</t>
  </si>
  <si>
    <t xml:space="preserve">Inpatient Management</t>
  </si>
  <si>
    <t xml:space="preserve">F-04-01</t>
  </si>
  <si>
    <t xml:space="preserve">Bed Management Dashboard</t>
  </si>
  <si>
    <t xml:space="preserve">Dashboard shows occupied/available/reserved beds per ward</t>
  </si>
  <si>
    <t xml:space="preserve">F-15-03</t>
  </si>
  <si>
    <t xml:space="preserve">Real-time bed status across wards</t>
  </si>
  <si>
    <t xml:space="preserve">F-04-02</t>
  </si>
  <si>
    <t xml:space="preserve">Admission Process (Emergency/Planned)</t>
  </si>
  <si>
    <t xml:space="preserve">Admission form complete with consent; bed allocated</t>
  </si>
  <si>
    <t xml:space="preserve">F-01-01, F-04-01</t>
  </si>
  <si>
    <t xml:space="preserve">Full admission workflow with consent forms</t>
  </si>
  <si>
    <t xml:space="preserve">F-04-03</t>
  </si>
  <si>
    <t xml:space="preserve">Ward Management &amp; Bed Transfer</t>
  </si>
  <si>
    <t xml:space="preserve">Transfer recorded; nursing team notified; bed freed</t>
  </si>
  <si>
    <t xml:space="preserve">Transfer between wards/rooms</t>
  </si>
  <si>
    <t xml:space="preserve">F-04-04</t>
  </si>
  <si>
    <t xml:space="preserve">Discharge Summary Generation</t>
  </si>
  <si>
    <t xml:space="preserve">Discharge summary auto-filled from notes; signed off by doctor</t>
  </si>
  <si>
    <t xml:space="preserve">F-03-02, F-04-02</t>
  </si>
  <si>
    <t xml:space="preserve">Auto-populated from clinical records</t>
  </si>
  <si>
    <t xml:space="preserve">F-04-05</t>
  </si>
  <si>
    <t xml:space="preserve">Death Certificate Module</t>
  </si>
  <si>
    <t xml:space="preserve">Certificate follows prescribed format; digital signature supported</t>
  </si>
  <si>
    <t xml:space="preserve">Standardised death certificate printing</t>
  </si>
  <si>
    <t xml:space="preserve">EPIC-05</t>
  </si>
  <si>
    <t xml:space="preserve">Laboratory Information System</t>
  </si>
  <si>
    <t xml:space="preserve">F-05-01</t>
  </si>
  <si>
    <t xml:space="preserve">Lab Test Catalog Setup</t>
  </si>
  <si>
    <t xml:space="preserve">All standard tests configured with reference ranges</t>
  </si>
  <si>
    <t xml:space="preserve">All test parameters and reference ranges | ◐ lab_tests table w/ status; reference ranges pending</t>
  </si>
  <si>
    <t xml:space="preserve">F-05-02</t>
  </si>
  <si>
    <t xml:space="preserve">Lab Order Entry (Internal/External)</t>
  </si>
  <si>
    <t xml:space="preserve">Orders linked to patient; TAT clock starts on order</t>
  </si>
  <si>
    <t xml:space="preserve">Order from OPD/IPD or walk-in | ◐ OPD investigation orders + items exist; IPD/walk-in orders pending</t>
  </si>
  <si>
    <t xml:space="preserve">F-05-03</t>
  </si>
  <si>
    <t xml:space="preserve">Sample Collection &amp; Barcode System</t>
  </si>
  <si>
    <t xml:space="preserve">Barcode label printed on sample collection; tracked through processing</t>
  </si>
  <si>
    <t xml:space="preserve">Barcode label printing and tracking</t>
  </si>
  <si>
    <t xml:space="preserve">F-05-04</t>
  </si>
  <si>
    <t xml:space="preserve">Result Entry &amp; Verification (Dual Sign-off)</t>
  </si>
  <si>
    <t xml:space="preserve">Result verified by pathologist before release; audit trail kept</t>
  </si>
  <si>
    <t xml:space="preserve">Technician entry + pathologist verification</t>
  </si>
  <si>
    <t xml:space="preserve">F-05-05</t>
  </si>
  <si>
    <t xml:space="preserve">Lab Report Generation (PDF)</t>
  </si>
  <si>
    <t xml:space="preserve">PDF report branded; sent to patient portal on verification</t>
  </si>
  <si>
    <t xml:space="preserve">Branded PDF with digital signature</t>
  </si>
  <si>
    <t xml:space="preserve">F-05-06</t>
  </si>
  <si>
    <t xml:space="preserve">Machine Interfacing (ASTM/HL7)</t>
  </si>
  <si>
    <t xml:space="preserve">Analyzer results auto-imported; manual override possible</t>
  </si>
  <si>
    <t xml:space="preserve">Bi-directional analyzer integration</t>
  </si>
  <si>
    <t xml:space="preserve">F-05-07</t>
  </si>
  <si>
    <t xml:space="preserve">Reference Range Management</t>
  </si>
  <si>
    <t xml:space="preserve">Age/gender-specific ranges applied automatically</t>
  </si>
  <si>
    <t xml:space="preserve">Age/gender specific normal ranges</t>
  </si>
  <si>
    <t xml:space="preserve">F-05-08</t>
  </si>
  <si>
    <t xml:space="preserve">Critical Value Alerts</t>
  </si>
  <si>
    <t xml:space="preserve">Critical value triggers notification to ordering doctor within 5 min</t>
  </si>
  <si>
    <t xml:space="preserve">Auto-alert clinician on critical results</t>
  </si>
  <si>
    <t xml:space="preserve">F-05-09</t>
  </si>
  <si>
    <t xml:space="preserve">Delta Check Validation</t>
  </si>
  <si>
    <t xml:space="preserve">Delta flag shown on result entry if change exceeds threshold</t>
  </si>
  <si>
    <t xml:space="preserve">Flag abnormal change from previous result</t>
  </si>
  <si>
    <t xml:space="preserve">F-05-10</t>
  </si>
  <si>
    <t xml:space="preserve">Lab Quality Control Module</t>
  </si>
  <si>
    <t xml:space="preserve">QC run logged; Levey-Jennings chart visible per analyte</t>
  </si>
  <si>
    <t xml:space="preserve">Levey-Jennings charts, QC runs</t>
  </si>
  <si>
    <t xml:space="preserve">EPIC-06</t>
  </si>
  <si>
    <t xml:space="preserve">Radiology Management</t>
  </si>
  <si>
    <t xml:space="preserve">F-06-01</t>
  </si>
  <si>
    <t xml:space="preserve">Radiology Order Management</t>
  </si>
  <si>
    <t xml:space="preserve">Orders placed with modality and priority; radiographer notified</t>
  </si>
  <si>
    <t xml:space="preserve">Order, track and prioritise radiology studies</t>
  </si>
  <si>
    <t xml:space="preserve">F-06-02</t>
  </si>
  <si>
    <t xml:space="preserve">DICOM/PACS Integration</t>
  </si>
  <si>
    <t xml:space="preserve">DICOM images viewable in-browser; linked to patient record</t>
  </si>
  <si>
    <t xml:space="preserve">Viewer integration for DICOM images</t>
  </si>
  <si>
    <t xml:space="preserve">F-06-03</t>
  </si>
  <si>
    <t xml:space="preserve">Radiology Reporting Template</t>
  </si>
  <si>
    <t xml:space="preserve">Template pre-fills common findings; free-text addable</t>
  </si>
  <si>
    <t xml:space="preserve">Structured body-part templates</t>
  </si>
  <si>
    <t xml:space="preserve">EPIC-07</t>
  </si>
  <si>
    <t xml:space="preserve">Pharmacy Management</t>
  </si>
  <si>
    <t xml:space="preserve">F-07-01</t>
  </si>
  <si>
    <t xml:space="preserve">Drug Master Database</t>
  </si>
  <si>
    <t xml:space="preserve">Drug master includes generic name, brand, strength, form, HSN</t>
  </si>
  <si>
    <t xml:space="preserve">Generic + brand, formulation, strength</t>
  </si>
  <si>
    <t xml:space="preserve">F-07-02</t>
  </si>
  <si>
    <t xml:space="preserve">Stock Management (GRN, Expiry Tracking)</t>
  </si>
  <si>
    <t xml:space="preserve">GRN recorded; stock updated; near-expiry items flagged</t>
  </si>
  <si>
    <t xml:space="preserve">FIFO dispensing, expiry alerts</t>
  </si>
  <si>
    <t xml:space="preserve">F-07-03</t>
  </si>
  <si>
    <t xml:space="preserve">Prescription Dispensing</t>
  </si>
  <si>
    <t xml:space="preserve">Prescription dispensed item by item; stock decremented real-time</t>
  </si>
  <si>
    <t xml:space="preserve">F-07-02, F-03-04</t>
  </si>
  <si>
    <t xml:space="preserve">Partial dispensing, substitution workflow</t>
  </si>
  <si>
    <t xml:space="preserve">F-07-04</t>
  </si>
  <si>
    <t xml:space="preserve">Purchase Order Management</t>
  </si>
  <si>
    <t xml:space="preserve">PO created, approved, sent to supplier; matched on GRN</t>
  </si>
  <si>
    <t xml:space="preserve">PO creation, approval, GRN matching</t>
  </si>
  <si>
    <t xml:space="preserve">F-07-05</t>
  </si>
  <si>
    <t xml:space="preserve">Supplier Management</t>
  </si>
  <si>
    <t xml:space="preserve">Supplier master with GST, bank, rate-contract details</t>
  </si>
  <si>
    <t xml:space="preserve">Supplier master with rate contracts | ✓ Built: suppliers table + controller</t>
  </si>
  <si>
    <t xml:space="preserve">F-07-06</t>
  </si>
  <si>
    <t xml:space="preserve">Generic ↔ Brand Mapping</t>
  </si>
  <si>
    <t xml:space="preserve">Pharmacist can substitute generic; doctor notified</t>
  </si>
  <si>
    <t xml:space="preserve">Allow therapeutic substitution</t>
  </si>
  <si>
    <t xml:space="preserve">F-07-07</t>
  </si>
  <si>
    <t xml:space="preserve">Drug Interaction Warning</t>
  </si>
  <si>
    <t xml:space="preserve">Interaction warning shown before dispensing; override with reason</t>
  </si>
  <si>
    <t xml:space="preserve">F-07-01, F-07-03</t>
  </si>
  <si>
    <t xml:space="preserve">Real-time interaction check at dispensing</t>
  </si>
  <si>
    <t xml:space="preserve">F-07-08</t>
  </si>
  <si>
    <t xml:space="preserve">Controlled Drug Tracking</t>
  </si>
  <si>
    <t xml:space="preserve">Controlled drug entry requires dual authentication</t>
  </si>
  <si>
    <t xml:space="preserve">Schedule H/X register, narcotic log</t>
  </si>
  <si>
    <t xml:space="preserve">F-07-09</t>
  </si>
  <si>
    <t xml:space="preserve">Auto Reorder Level Alerts</t>
  </si>
  <si>
    <t xml:space="preserve">Alert triggered when stock &lt; reorder qty; PO suggestion generated</t>
  </si>
  <si>
    <t xml:space="preserve">Alert when stock &lt; reorder quantity</t>
  </si>
  <si>
    <t xml:space="preserve">F-07-10</t>
  </si>
  <si>
    <t xml:space="preserve">Expiry &amp; Near-Expiry Alerts</t>
  </si>
  <si>
    <t xml:space="preserve">Dashboard shows drugs expiring in 30/60/90 days</t>
  </si>
  <si>
    <t xml:space="preserve">30/60/90-day expiry dashboard</t>
  </si>
  <si>
    <t xml:space="preserve">EPIC-08</t>
  </si>
  <si>
    <t xml:space="preserve">Billing &amp; Finance</t>
  </si>
  <si>
    <t xml:space="preserve">F-08-01</t>
  </si>
  <si>
    <t xml:space="preserve">OPD Billing &amp; Receipt</t>
  </si>
  <si>
    <t xml:space="preserve">Bill generated after OPD; receipt printed; payment confirmed</t>
  </si>
  <si>
    <t xml:space="preserve">F-01-01, F-02-03</t>
  </si>
  <si>
    <t xml:space="preserve">Consultation, lab, pharmacy line items | ✓ Built: opd_bills/items/payments + controller</t>
  </si>
  <si>
    <t xml:space="preserve">F-08-02</t>
  </si>
  <si>
    <t xml:space="preserve">IPD Billing (Daily &amp; Discharge)</t>
  </si>
  <si>
    <t xml:space="preserve">Daily bill available during stay; final bill at discharge</t>
  </si>
  <si>
    <t xml:space="preserve">F-04-02, F-08-01</t>
  </si>
  <si>
    <t xml:space="preserve">Room charges, nursing, procedure billing</t>
  </si>
  <si>
    <t xml:space="preserve">F-08-03</t>
  </si>
  <si>
    <t xml:space="preserve">Payment Collection (Multi-Mode)</t>
  </si>
  <si>
    <t xml:space="preserve">All payment modes recorded; split payment supported</t>
  </si>
  <si>
    <t xml:space="preserve">Cash, card, UPI, cheque, online | ◐ opd_bill_payments exist; central cashiering/split pending</t>
  </si>
  <si>
    <t xml:space="preserve">F-08-04</t>
  </si>
  <si>
    <t xml:space="preserve">Refund Processing</t>
  </si>
  <si>
    <t xml:space="preserve">Refund approved by supervisor; original receipt voided</t>
  </si>
  <si>
    <t xml:space="preserve">Partial and full refund with approval</t>
  </si>
  <si>
    <t xml:space="preserve">F-08-05</t>
  </si>
  <si>
    <t xml:space="preserve">Corporate / Insurance Billing (TPA)</t>
  </si>
  <si>
    <t xml:space="preserve">TPA bill formatted per insurer; submitted electronically</t>
  </si>
  <si>
    <t xml:space="preserve">F-08-02, F-20-01</t>
  </si>
  <si>
    <t xml:space="preserve">Credit billing, TPA claim submission</t>
  </si>
  <si>
    <t xml:space="preserve">F-08-06</t>
  </si>
  <si>
    <t xml:space="preserve">Package &amp; Bundle Billing</t>
  </si>
  <si>
    <t xml:space="preserve">Package selected at admission; inclusions auto-billed</t>
  </si>
  <si>
    <t xml:space="preserve">Fixed-price package with inclusions</t>
  </si>
  <si>
    <t xml:space="preserve">F-08-07</t>
  </si>
  <si>
    <t xml:space="preserve">Discount &amp; Concession Management</t>
  </si>
  <si>
    <t xml:space="preserve">Discount requires approval above threshold; recorded in audit</t>
  </si>
  <si>
    <t xml:space="preserve">Role-based discount approval workflow | ◐ bill discount fields exist; approval workflow pending</t>
  </si>
  <si>
    <t xml:space="preserve">F-08-08</t>
  </si>
  <si>
    <t xml:space="preserve">Credit &amp; Advance Payment Management</t>
  </si>
  <si>
    <t xml:space="preserve">Advance payment recorded against patient; adjusted at discharge</t>
  </si>
  <si>
    <t xml:space="preserve">Advance deposit, running ledger</t>
  </si>
  <si>
    <t xml:space="preserve">EPIC-09</t>
  </si>
  <si>
    <t xml:space="preserve">Surgery &amp; OT</t>
  </si>
  <si>
    <t xml:space="preserve">F-09-01</t>
  </si>
  <si>
    <t xml:space="preserve">OT Scheduling &amp; Booking</t>
  </si>
  <si>
    <t xml:space="preserve">OT booked with surgeon, anaesthetist, theatre, equipment list</t>
  </si>
  <si>
    <t xml:space="preserve">F-04-02, F-02-01</t>
  </si>
  <si>
    <t xml:space="preserve">Theatre allocation, surgeon, anaesthetist</t>
  </si>
  <si>
    <t xml:space="preserve">F-09-02</t>
  </si>
  <si>
    <t xml:space="preserve">Surgery Notes &amp; WHO Safety Checklist</t>
  </si>
  <si>
    <t xml:space="preserve">WHO checklist completed before incision; electronically signed</t>
  </si>
  <si>
    <t xml:space="preserve">Pre/intra/post-operative documentation</t>
  </si>
  <si>
    <t xml:space="preserve">F-09-03</t>
  </si>
  <si>
    <t xml:space="preserve">Anaesthesia Record</t>
  </si>
  <si>
    <t xml:space="preserve">Anaesthesia chart records agent, dosage, vitals every 5 min</t>
  </si>
  <si>
    <t xml:space="preserve">Drug doses, vitals chart, recovery notes</t>
  </si>
  <si>
    <t xml:space="preserve">EPIC-10</t>
  </si>
  <si>
    <t xml:space="preserve">Nursing Module</t>
  </si>
  <si>
    <t xml:space="preserve">F-10-01</t>
  </si>
  <si>
    <t xml:space="preserve">Nursing Assessment Forms</t>
  </si>
  <si>
    <t xml:space="preserve">Assessment completed at admission; auto-saved every 30 sec</t>
  </si>
  <si>
    <t xml:space="preserve">Admission nursing assessment</t>
  </si>
  <si>
    <t xml:space="preserve">F-10-02</t>
  </si>
  <si>
    <t xml:space="preserve">Medication Administration Record (MAR)</t>
  </si>
  <si>
    <t xml:space="preserve">MAR shows all ordered medications; each administration signed</t>
  </si>
  <si>
    <t xml:space="preserve">F-03-04, F-04-02</t>
  </si>
  <si>
    <t xml:space="preserve">eMAR with scan-and-administer workflow</t>
  </si>
  <si>
    <t xml:space="preserve">F-10-03</t>
  </si>
  <si>
    <t xml:space="preserve">Vital Signs Charting (Trend View)</t>
  </si>
  <si>
    <t xml:space="preserve">Vitals plotted on trend graph; abnormal values highlighted</t>
  </si>
  <si>
    <t xml:space="preserve">Graphical trends for ward vitals</t>
  </si>
  <si>
    <t xml:space="preserve">F-10-04</t>
  </si>
  <si>
    <t xml:space="preserve">Fluid Balance Chart</t>
  </si>
  <si>
    <t xml:space="preserve">Fluid in/out recorded per shift; daily balance calculated</t>
  </si>
  <si>
    <t xml:space="preserve">Intake/output monitoring</t>
  </si>
  <si>
    <t xml:space="preserve">EPIC-11</t>
  </si>
  <si>
    <t xml:space="preserve">Blood Bank</t>
  </si>
  <si>
    <t xml:space="preserve">F-11-01</t>
  </si>
  <si>
    <t xml:space="preserve">Donor Management</t>
  </si>
  <si>
    <t xml:space="preserve">Donor registered; donation history tracked; deferral flagged</t>
  </si>
  <si>
    <t xml:space="preserve">Donor registry, donation history</t>
  </si>
  <si>
    <t xml:space="preserve">F-11-02</t>
  </si>
  <si>
    <t xml:space="preserve">Blood Inventory &amp; Screening</t>
  </si>
  <si>
    <t xml:space="preserve">Blood units inventoried by component, type, expiry</t>
  </si>
  <si>
    <t xml:space="preserve">Component-wise stock with expiry</t>
  </si>
  <si>
    <t xml:space="preserve">F-11-03</t>
  </si>
  <si>
    <t xml:space="preserve">Cross Matching &amp; Transfusion Record</t>
  </si>
  <si>
    <t xml:space="preserve">Cross-match result recorded; transfusion unit linked to patient</t>
  </si>
  <si>
    <t xml:space="preserve">ABO/Rh cross-match, transfusion log</t>
  </si>
  <si>
    <t xml:space="preserve">EPIC-12</t>
  </si>
  <si>
    <t xml:space="preserve">Emergency &amp; Triage</t>
  </si>
  <si>
    <t xml:space="preserve">F-12-01</t>
  </si>
  <si>
    <t xml:space="preserve">Emergency Patient Registration</t>
  </si>
  <si>
    <t xml:space="preserve">Triage registration &lt; 2 min; allergy and chief complaint captured</t>
  </si>
  <si>
    <t xml:space="preserve">Quick registration (&lt; 2 min)</t>
  </si>
  <si>
    <t xml:space="preserve">F-12-02</t>
  </si>
  <si>
    <t xml:space="preserve">Triage Assessment (CTAS/ESI)</t>
  </si>
  <si>
    <t xml:space="preserve">Triage score assigned; colour band printed; timer started</t>
  </si>
  <si>
    <t xml:space="preserve">Colour-coded triage with timer</t>
  </si>
  <si>
    <t xml:space="preserve">EPIC-13</t>
  </si>
  <si>
    <t xml:space="preserve">HR &amp; Staff Management</t>
  </si>
  <si>
    <t xml:space="preserve">F-13-01</t>
  </si>
  <si>
    <t xml:space="preserve">Employee Master</t>
  </si>
  <si>
    <t xml:space="preserve">Employee record with department, designation, contact, documents</t>
  </si>
  <si>
    <t xml:space="preserve">Staff profiles, departments, designations | ✓ Built: Employee, Department, Designation, organogram</t>
  </si>
  <si>
    <t xml:space="preserve">F-13-02</t>
  </si>
  <si>
    <t xml:space="preserve">Attendance Management</t>
  </si>
  <si>
    <t xml:space="preserve">Biometric punches synced; shift-wise report generated</t>
  </si>
  <si>
    <t xml:space="preserve">Biometric device integration</t>
  </si>
  <si>
    <t xml:space="preserve">F-13-03</t>
  </si>
  <si>
    <t xml:space="preserve">Leave Management</t>
  </si>
  <si>
    <t xml:space="preserve">Leave applied and approved via workflow; balance updated</t>
  </si>
  <si>
    <t xml:space="preserve">Leave request, approval workflow</t>
  </si>
  <si>
    <t xml:space="preserve">EPIC-14</t>
  </si>
  <si>
    <t xml:space="preserve">Reports &amp; Analytics</t>
  </si>
  <si>
    <t xml:space="preserve">F-14-01</t>
  </si>
  <si>
    <t xml:space="preserve">Daily Collection Report</t>
  </si>
  <si>
    <t xml:space="preserve">Report shows collections by mode, department, doctor; exportable</t>
  </si>
  <si>
    <t xml:space="preserve">Revenue collection by payment mode</t>
  </si>
  <si>
    <t xml:space="preserve">F-14-02</t>
  </si>
  <si>
    <t xml:space="preserve">MIS Executive Dashboard</t>
  </si>
  <si>
    <t xml:space="preserve">Dashboard refreshes hourly; drill-down to department level</t>
  </si>
  <si>
    <t xml:space="preserve">F-14-01, F-04-01, F-08-02</t>
  </si>
  <si>
    <t xml:space="preserve">KPIs: OPD, IPD, Revenue, Occupancy</t>
  </si>
  <si>
    <t xml:space="preserve">F-14-03</t>
  </si>
  <si>
    <t xml:space="preserve">Occupancy &amp; Revenue Reports</t>
  </si>
  <si>
    <t xml:space="preserve">Occupancy % and revenue per bed class shown daily</t>
  </si>
  <si>
    <t xml:space="preserve">F-04-01, F-08-02</t>
  </si>
  <si>
    <t xml:space="preserve">Bed occupancy, ward-wise revenue</t>
  </si>
  <si>
    <t xml:space="preserve">F-14-04</t>
  </si>
  <si>
    <t xml:space="preserve">Custom Report Builder</t>
  </si>
  <si>
    <t xml:space="preserve">User drags fields to build report; result exportable to Excel/PDF</t>
  </si>
  <si>
    <t xml:space="preserve">F-14-01, F-14-02</t>
  </si>
  <si>
    <t xml:space="preserve">Drag-and-drop ad-hoc reporting</t>
  </si>
  <si>
    <t xml:space="preserve">F-14-05</t>
  </si>
  <si>
    <t xml:space="preserve">Doctor Revenue &amp; Productivity Report</t>
  </si>
  <si>
    <t xml:space="preserve">Doctor-wise OPD/IPD counts and revenue compared month-on-month</t>
  </si>
  <si>
    <t xml:space="preserve">F-08-01, F-08-02</t>
  </si>
  <si>
    <t xml:space="preserve">Per-doctor OPD/IPD revenue</t>
  </si>
  <si>
    <t xml:space="preserve">F-14-06</t>
  </si>
  <si>
    <t xml:space="preserve">Patient Visit Trends</t>
  </si>
  <si>
    <t xml:space="preserve">Visit trend chart by specialty and patient type; filterable</t>
  </si>
  <si>
    <t xml:space="preserve">Monthly/seasonal visit pattern analysis</t>
  </si>
  <si>
    <t xml:space="preserve">F-14-07</t>
  </si>
  <si>
    <t xml:space="preserve">Pharmacy Sales Analytics</t>
  </si>
  <si>
    <t xml:space="preserve">Top 20 drugs by sales; slow-moving and near-expiry highlighted</t>
  </si>
  <si>
    <t xml:space="preserve">Top drugs, margin, movement analysis</t>
  </si>
  <si>
    <t xml:space="preserve">F-14-08</t>
  </si>
  <si>
    <t xml:space="preserve">Lab Revenue Analytics</t>
  </si>
  <si>
    <t xml:space="preserve">Test-wise volume and revenue; TAT compliance report</t>
  </si>
  <si>
    <t xml:space="preserve">Test-wise revenue and TAT</t>
  </si>
  <si>
    <t xml:space="preserve">F-14-09</t>
  </si>
  <si>
    <t xml:space="preserve">Inventory &amp; Requisition Reports Suite</t>
  </si>
  <si>
    <t xml:space="preserve">Stock, low-stock, disbursement and requisition analytics reports exportable</t>
  </si>
  <si>
    <t xml:space="preserve">F-19-01</t>
  </si>
  <si>
    <t xml:space="preserve">NEW – already built: 7 report controllers (stock, low stock, disbursement, requisition analytics) | ✓ Built: 7 inventory report controllers</t>
  </si>
  <si>
    <t xml:space="preserve">EPIC-15</t>
  </si>
  <si>
    <t xml:space="preserve">System Admin</t>
  </si>
  <si>
    <t xml:space="preserve">F-15-01</t>
  </si>
  <si>
    <t xml:space="preserve">Role-Based Access Control (RBAC)</t>
  </si>
  <si>
    <t xml:space="preserve">Roles, scopes and permissions manageable from admin UI; access enforced per API</t>
  </si>
  <si>
    <t xml:space="preserve">Restored row (was missing). Built: roles/permissions/scopes/resources + UI | ✓ Built: roles/permissions/scopes + admin UI</t>
  </si>
  <si>
    <t xml:space="preserve">F-15-02</t>
  </si>
  <si>
    <t xml:space="preserve">Audit Trail &amp; Activity Logs</t>
  </si>
  <si>
    <t xml:space="preserve">All create/update/delete actions logged with user, timestamp, before/after</t>
  </si>
  <si>
    <t xml:space="preserve">Restored row. Appointment &amp; OPD audit logs exist; extend system-wide | ◐ appointment/OPD audit logs exist; system-wide pending</t>
  </si>
  <si>
    <t xml:space="preserve">Master Data Management</t>
  </si>
  <si>
    <t xml:space="preserve">Units, branches, departments, enums, code sequences manageable centrally</t>
  </si>
  <si>
    <t xml:space="preserve">Restored row. Built: units, branches, departments, designations, enums, attributes, code sequences, app settings | ✓ Built: master data modules live</t>
  </si>
  <si>
    <t xml:space="preserve">F-15-04</t>
  </si>
  <si>
    <t xml:space="preserve">Workflow &amp; Approval Engine</t>
  </si>
  <si>
    <t xml:space="preserve">Multi-step approval flows configurable with steps, approvers, transitions, rules</t>
  </si>
  <si>
    <t xml:space="preserve">NEW – already built: workflows, steps, approvers, transitions, action rules; reused by inventory | ✓ Built: workflow engine live, used by inventory approvals</t>
  </si>
  <si>
    <t xml:space="preserve">F-15-05</t>
  </si>
  <si>
    <t xml:space="preserve">Notification Center &amp; SMS/Email Gateway</t>
  </si>
  <si>
    <t xml:space="preserve">Central service sends SMS/email/in-app notifications; templates configurable</t>
  </si>
  <si>
    <t xml:space="preserve">NEW – gap: prerequisite for reminders (F-02-05), critical alerts (F-05-08), waitlist notify</t>
  </si>
  <si>
    <t xml:space="preserve">F-15-06</t>
  </si>
  <si>
    <t xml:space="preserve">Database Backup &amp; Restore</t>
  </si>
  <si>
    <t xml:space="preserve">Scheduled backup runs daily; restore tested and documented</t>
  </si>
  <si>
    <t xml:space="preserve">NEW – gap: operational safety before go-live</t>
  </si>
  <si>
    <t xml:space="preserve">EPIC-16</t>
  </si>
  <si>
    <t xml:space="preserve">Electronic Medical Records (EMR)</t>
  </si>
  <si>
    <t xml:space="preserve">F-16-01</t>
  </si>
  <si>
    <t xml:space="preserve">Longitudinal Patient Medical History</t>
  </si>
  <si>
    <t xml:space="preserve">All visits shown in timeline; lab, imaging, Rx accessible</t>
  </si>
  <si>
    <t xml:space="preserve">Unified view across all visits</t>
  </si>
  <si>
    <t xml:space="preserve">F-16-02</t>
  </si>
  <si>
    <t xml:space="preserve">Allergy Management</t>
  </si>
  <si>
    <t xml:space="preserve">Allergy recorded with reaction type; alert shown at prescribing</t>
  </si>
  <si>
    <t xml:space="preserve">Drug &amp; food allergy with alert</t>
  </si>
  <si>
    <t xml:space="preserve">F-16-03</t>
  </si>
  <si>
    <t xml:space="preserve">Chronic Disease Management</t>
  </si>
  <si>
    <t xml:space="preserve">Chronic conditions tracked with readings and targets</t>
  </si>
  <si>
    <t xml:space="preserve">Ongoing condition tracking &amp; goals</t>
  </si>
  <si>
    <t xml:space="preserve">F-16-04</t>
  </si>
  <si>
    <t xml:space="preserve">Clinical Attachments &amp; Scanned Records</t>
  </si>
  <si>
    <t xml:space="preserve">Documents stored securely; retrievable by date, type</t>
  </si>
  <si>
    <t xml:space="preserve">Upload &amp; link external documents</t>
  </si>
  <si>
    <t xml:space="preserve">F-16-05</t>
  </si>
  <si>
    <t xml:space="preserve">Patient Timeline View</t>
  </si>
  <si>
    <t xml:space="preserve">Events plotted chronologically; filterable by event type</t>
  </si>
  <si>
    <t xml:space="preserve">Chronological clinical event view</t>
  </si>
  <si>
    <t xml:space="preserve">EPIC-17</t>
  </si>
  <si>
    <t xml:space="preserve">Patient Portal</t>
  </si>
  <si>
    <t xml:space="preserve">F-17-01</t>
  </si>
  <si>
    <t xml:space="preserve">Patient Login &amp; Profile</t>
  </si>
  <si>
    <t xml:space="preserve">OTP login via mobile; profile editable by patient</t>
  </si>
  <si>
    <t xml:space="preserve">OTP-based secure login</t>
  </si>
  <si>
    <t xml:space="preserve">F-17-02</t>
  </si>
  <si>
    <t xml:space="preserve">View Prescriptions Online</t>
  </si>
  <si>
    <t xml:space="preserve">Prescriptions listed by date; downloadable as PDF</t>
  </si>
  <si>
    <t xml:space="preserve">F-17-01, F-03-04</t>
  </si>
  <si>
    <t xml:space="preserve">Read-only e-prescription access</t>
  </si>
  <si>
    <t xml:space="preserve">F-17-03</t>
  </si>
  <si>
    <t xml:space="preserve">View &amp; Download Lab Reports</t>
  </si>
  <si>
    <t xml:space="preserve">Lab reports listed; downloaded only after pathologist release</t>
  </si>
  <si>
    <t xml:space="preserve">F-17-01, F-05-05</t>
  </si>
  <si>
    <t xml:space="preserve">PDF download from portal</t>
  </si>
  <si>
    <t xml:space="preserve">F-17-04</t>
  </si>
  <si>
    <t xml:space="preserve">Download Invoices &amp; Receipts</t>
  </si>
  <si>
    <t xml:space="preserve">All invoices accessible; PDF download available</t>
  </si>
  <si>
    <t xml:space="preserve">F-17-01, F-08-01</t>
  </si>
  <si>
    <t xml:space="preserve">Billing history and receipts</t>
  </si>
  <si>
    <t xml:space="preserve">F-17-05</t>
  </si>
  <si>
    <t xml:space="preserve">Online Payment via Portal</t>
  </si>
  <si>
    <t xml:space="preserve">Payment via gateway; receipt generated; outstanding updated</t>
  </si>
  <si>
    <t xml:space="preserve">F-17-01, F-08-03</t>
  </si>
  <si>
    <t xml:space="preserve">Pay outstanding bills online</t>
  </si>
  <si>
    <t xml:space="preserve">F-17-06</t>
  </si>
  <si>
    <t xml:space="preserve">Telemedicine Consultation</t>
  </si>
  <si>
    <t xml:space="preserve">Video call initiated; e-prescription issued post-consult</t>
  </si>
  <si>
    <t xml:space="preserve">F-17-01, F-02-02</t>
  </si>
  <si>
    <t xml:space="preserve">Video consult with e-prescription</t>
  </si>
  <si>
    <t xml:space="preserve">EPIC-18</t>
  </si>
  <si>
    <t xml:space="preserve">Doctor Portal</t>
  </si>
  <si>
    <t xml:space="preserve">F-18-01</t>
  </si>
  <si>
    <t xml:space="preserve">Doctor Dashboard</t>
  </si>
  <si>
    <t xml:space="preserve">Dashboard shows today's appointments, pending tasks, notifications</t>
  </si>
  <si>
    <t xml:space="preserve">Appointment list, pending tasks</t>
  </si>
  <si>
    <t xml:space="preserve">F-18-02</t>
  </si>
  <si>
    <t xml:space="preserve">Daily Appointment List</t>
  </si>
  <si>
    <t xml:space="preserve">Appointment list sortable by time; patient summary on hover</t>
  </si>
  <si>
    <t xml:space="preserve">Today's schedule with patient summary</t>
  </si>
  <si>
    <t xml:space="preserve">F-18-03</t>
  </si>
  <si>
    <t xml:space="preserve">Patient History Review</t>
  </si>
  <si>
    <t xml:space="preserve">Past visits, labs, imaging accessible in 2 clicks</t>
  </si>
  <si>
    <t xml:space="preserve">Quick access to past visits/labs</t>
  </si>
  <si>
    <t xml:space="preserve">F-18-04</t>
  </si>
  <si>
    <t xml:space="preserve">e-Prescription Templates</t>
  </si>
  <si>
    <t xml:space="preserve">Favourite Rx saved and recalled by template name</t>
  </si>
  <si>
    <t xml:space="preserve">Favourite drug combos saved</t>
  </si>
  <si>
    <t xml:space="preserve">F-18-05</t>
  </si>
  <si>
    <t xml:space="preserve">Voice-to-Text Clinical Notes</t>
  </si>
  <si>
    <t xml:space="preserve">Voice note transcribed within 5 sec; editable before save</t>
  </si>
  <si>
    <t xml:space="preserve">AI-assisted speech recognition</t>
  </si>
  <si>
    <t xml:space="preserve">EPIC-19</t>
  </si>
  <si>
    <t xml:space="preserve">Inventory Management</t>
  </si>
  <si>
    <t xml:space="preserve">Medical Consumable Inventory</t>
  </si>
  <si>
    <t xml:space="preserve">Consumable stock tracked per ward; reorder alert configured</t>
  </si>
  <si>
    <t xml:space="preserve">Track consumables by ward/dept | ✓ Built: items, item_stocks, shelves, branches</t>
  </si>
  <si>
    <t xml:space="preserve">F-19-02</t>
  </si>
  <si>
    <t xml:space="preserve">Store Requisition</t>
  </si>
  <si>
    <t xml:space="preserve">Department requests stock; store manager approves</t>
  </si>
  <si>
    <t xml:space="preserve">Department request to central store | ✓ Built: requisitions + items + limits + approval</t>
  </si>
  <si>
    <t xml:space="preserve">F-19-03</t>
  </si>
  <si>
    <t xml:space="preserve">Inter-Store Transfer</t>
  </si>
  <si>
    <t xml:space="preserve">Stock transferred with reason; both stores updated</t>
  </si>
  <si>
    <t xml:space="preserve">Move stock between stores | ✓ Built: stock_transfers + approval</t>
  </si>
  <si>
    <t xml:space="preserve">F-19-04</t>
  </si>
  <si>
    <t xml:space="preserve">Stock Adjustment</t>
  </si>
  <si>
    <t xml:space="preserve">Adjustment recorded with reason; stock updated; approved by manager</t>
  </si>
  <si>
    <t xml:space="preserve">Write-off, damage, correction entries | ✓ Built: stock_adjustments + approval</t>
  </si>
  <si>
    <t xml:space="preserve">F-19-05</t>
  </si>
  <si>
    <t xml:space="preserve">Purchase Requisition</t>
  </si>
  <si>
    <t xml:space="preserve">PR raised by dept; routed to purchase team for PO</t>
  </si>
  <si>
    <t xml:space="preserve">Dept-initiated purchase request | ◐ requisition flow exists; PO handoff pending</t>
  </si>
  <si>
    <t xml:space="preserve">F-19-06</t>
  </si>
  <si>
    <t xml:space="preserve">Vendor Comparison &amp; Rate Contract</t>
  </si>
  <si>
    <t xml:space="preserve">Multiple vendor quotes compared; rate contract approved and saved</t>
  </si>
  <si>
    <t xml:space="preserve">F-07-05, F-19-05</t>
  </si>
  <si>
    <t xml:space="preserve">Compare quotes, approve rate contracts</t>
  </si>
  <si>
    <t xml:space="preserve">F-19-07</t>
  </si>
  <si>
    <t xml:space="preserve">Goods Receive Note (GRN)</t>
  </si>
  <si>
    <t xml:space="preserve">GRN recorded against requisition; stock updated; approval workflow applied</t>
  </si>
  <si>
    <t xml:space="preserve">NEW – already built: GRN + items + approval controller | ✓ Built: GRN + items + approval</t>
  </si>
  <si>
    <t xml:space="preserve">F-19-08</t>
  </si>
  <si>
    <t xml:space="preserve">Disbursement Slot Management</t>
  </si>
  <si>
    <t xml:space="preserve">Disbursement slots configurable and assignable; holidays respected</t>
  </si>
  <si>
    <t xml:space="preserve">NEW – already built: slots, assignments, govt holidays | ✓ Built: disbursement slots + assigns + holidays</t>
  </si>
  <si>
    <t xml:space="preserve">F-19-09</t>
  </si>
  <si>
    <t xml:space="preserve">Item Consumption Tracking</t>
  </si>
  <si>
    <t xml:space="preserve">Consumption recorded per department; stock-out history kept</t>
  </si>
  <si>
    <t xml:space="preserve">NEW – already built: item consumptions, stock-out histories | ✓ Built: item_consumptions + stock_out_histories</t>
  </si>
  <si>
    <t xml:space="preserve">EPIC-20</t>
  </si>
  <si>
    <t xml:space="preserve">Insurance &amp; TPA</t>
  </si>
  <si>
    <t xml:space="preserve">F-20-01</t>
  </si>
  <si>
    <t xml:space="preserve">Insurance Company Master</t>
  </si>
  <si>
    <t xml:space="preserve">Insurer master with scheme, covered services, limits</t>
  </si>
  <si>
    <t xml:space="preserve">Insurer, scheme, coverage config</t>
  </si>
  <si>
    <t xml:space="preserve">F-20-02</t>
  </si>
  <si>
    <t xml:space="preserve">Pre-Authorization Request</t>
  </si>
  <si>
    <t xml:space="preserve">PA request sent digitally; approval tracked with TAT</t>
  </si>
  <si>
    <t xml:space="preserve">F-04-02, F-20-01</t>
  </si>
  <si>
    <t xml:space="preserve">Digital PA submission and tracking</t>
  </si>
  <si>
    <t xml:space="preserve">F-20-03</t>
  </si>
  <si>
    <t xml:space="preserve">Claim Processing &amp; Submission</t>
  </si>
  <si>
    <t xml:space="preserve">Claim document bundle created; submitted per insurer format</t>
  </si>
  <si>
    <t xml:space="preserve">F-08-05, F-20-02</t>
  </si>
  <si>
    <t xml:space="preserve">Claim packaging per insurer format</t>
  </si>
  <si>
    <t xml:space="preserve">F-20-04</t>
  </si>
  <si>
    <t xml:space="preserve">Claim Tracking &amp; Status</t>
  </si>
  <si>
    <t xml:space="preserve">Claim status updated from insurer portal or manual entry</t>
  </si>
  <si>
    <t xml:space="preserve">Track submitted/pending/settled claims</t>
  </si>
  <si>
    <t xml:space="preserve">F-20-05</t>
  </si>
  <si>
    <t xml:space="preserve">Settlement &amp; Reconciliation</t>
  </si>
  <si>
    <t xml:space="preserve">Settlement matched to bank receipt; balance billed to patient</t>
  </si>
  <si>
    <t xml:space="preserve">Bank receipt matching, balance dues</t>
  </si>
  <si>
    <t xml:space="preserve">EPIC-21</t>
  </si>
  <si>
    <t xml:space="preserve">Mobile Applications</t>
  </si>
  <si>
    <t xml:space="preserve">F-21-01</t>
  </si>
  <si>
    <t xml:space="preserve">Patient Mobile App (iOS + Android)</t>
  </si>
  <si>
    <t xml:space="preserve">App available on iOS 14+ and Android 9+; appointment &amp; reports functional</t>
  </si>
  <si>
    <t xml:space="preserve">F-17-01, F-17-03</t>
  </si>
  <si>
    <t xml:space="preserve">Appointments, reports, payments</t>
  </si>
  <si>
    <t xml:space="preserve">F-21-02</t>
  </si>
  <si>
    <t xml:space="preserve">Doctor Mobile App</t>
  </si>
  <si>
    <t xml:space="preserve">Doctor views schedule, dictates notes; syncs in real-time</t>
  </si>
  <si>
    <t xml:space="preserve">Schedule, consult notes on-the-go</t>
  </si>
  <si>
    <t xml:space="preserve">F-21-03</t>
  </si>
  <si>
    <t xml:space="preserve">Nurse Mobile App</t>
  </si>
  <si>
    <t xml:space="preserve">Nurse scans barcode to administer medication; records vitals</t>
  </si>
  <si>
    <t xml:space="preserve">MAR, vitals entry at bedside</t>
  </si>
  <si>
    <t xml:space="preserve">F-21-04</t>
  </si>
  <si>
    <t xml:space="preserve">Push Notifications (All Roles)</t>
  </si>
  <si>
    <t xml:space="preserve">Push sent on appointment confirm, lab result ready, bill generated</t>
  </si>
  <si>
    <t xml:space="preserve">F-21-01, F-21-02, F-21-03</t>
  </si>
  <si>
    <t xml:space="preserve">Appointment, lab result, alert pushes</t>
  </si>
  <si>
    <t xml:space="preserve">TOTAL · 124 Features</t>
  </si>
  <si>
    <t xml:space="preserve">Sprint Goal</t>
  </si>
  <si>
    <t xml:space="preserve">Start Date</t>
  </si>
  <si>
    <t xml:space="preserve">End Date</t>
  </si>
  <si>
    <t xml:space="preserve">Already built (pre-plan): platform, RBAC, workflow engine, inventory suite, patients, appointments, OPD core</t>
  </si>
  <si>
    <t xml:space="preserve">TOTAL</t>
  </si>
  <si>
    <t xml:space="preserve">SPRINT FEATURE BREAKDOWN</t>
  </si>
  <si>
    <t xml:space="preserve">SP Total</t>
  </si>
  <si>
    <t xml:space="preserve">SP Done</t>
  </si>
  <si>
    <t xml:space="preserve">% Done (SP)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</si>
</sst>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sz val="11"/>
      <color rgb="FF80808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548235"/>
      <name val="Arial"/>
      <family val="0"/>
      <charset val="1"/>
    </font>
    <font>
      <b val="true"/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BF8F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BF8F00"/>
      <name val="Arial"/>
      <family val="0"/>
      <charset val="1"/>
    </font>
    <font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14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  <c r="C6" s="4" t="s">
        <v>4</v>
      </c>
      <c r="D6" s="4"/>
      <c r="E6" s="4" t="s">
        <v>5</v>
      </c>
      <c r="F6" s="4" t="s">
        <v>6</v>
      </c>
      <c r="G6" s="4" t="s">
        <v>7</v>
      </c>
      <c r="H6" s="4" t="s">
        <v>8</v>
      </c>
    </row>
    <row r="7" customFormat="false" ht="15" hidden="false" customHeight="false" outlineLevel="0" collapsed="false">
      <c r="B7" s="5" t="s">
        <v>9</v>
      </c>
      <c r="C7" s="6" t="n">
        <v>124</v>
      </c>
      <c r="E7" s="7" t="s">
        <v>10</v>
      </c>
      <c r="F7" s="5" t="n">
        <f aca="false">COUNTIF('📦 Product Backlog'!I:I,"Done")</f>
        <v>22</v>
      </c>
      <c r="G7" s="5" t="n">
        <f aca="false">SUMIF('📦 Product Backlog'!I:I,"Done",'📦 Product Backlog'!H:H)</f>
        <v>204</v>
      </c>
      <c r="H7" s="8" t="n">
        <f aca="false">G7/'🏗️ Epic Summary'!H24</f>
        <v>0.157894736842105</v>
      </c>
    </row>
    <row r="8" customFormat="false" ht="15" hidden="false" customHeight="false" outlineLevel="0" collapsed="false">
      <c r="B8" s="5" t="s">
        <v>11</v>
      </c>
      <c r="C8" s="9" t="n">
        <f aca="false">'🏗️ Epic Summary'!H24</f>
        <v>1292</v>
      </c>
      <c r="E8" s="10" t="s">
        <v>12</v>
      </c>
      <c r="F8" s="5" t="n">
        <f aca="false">COUNTIF('📦 Product Backlog'!I:I,"In Progress")</f>
        <v>11</v>
      </c>
      <c r="G8" s="5" t="n">
        <f aca="false">SUMIF('📦 Product Backlog'!I:I,"In Progress",'📦 Product Backlog'!H:H)</f>
        <v>115</v>
      </c>
      <c r="H8" s="8" t="n">
        <f aca="false">G8/'🏗️ Epic Summary'!H24</f>
        <v>0.0890092879256966</v>
      </c>
    </row>
    <row r="9" customFormat="false" ht="15" hidden="false" customHeight="false" outlineLevel="0" collapsed="false">
      <c r="E9" s="11" t="s">
        <v>13</v>
      </c>
      <c r="F9" s="5" t="n">
        <f aca="false">COUNTIF('📦 Product Backlog'!I:I,"Not Started")</f>
        <v>91</v>
      </c>
      <c r="G9" s="5" t="n">
        <f aca="false">SUMIF('📦 Product Backlog'!I:I,"Not Started",'📦 Product Backlog'!H:H)</f>
        <v>973</v>
      </c>
      <c r="H9" s="8" t="n">
        <f aca="false">G9/'🏗️ Epic Summary'!H24</f>
        <v>0.753095975232198</v>
      </c>
    </row>
    <row r="11" customFormat="false" ht="15" hidden="false" customHeight="false" outlineLevel="0" collapsed="false">
      <c r="B11" s="12" t="s">
        <v>14</v>
      </c>
    </row>
    <row r="12" customFormat="false" ht="15" hidden="false" customHeight="false" outlineLevel="0" collapsed="false">
      <c r="B12" s="4" t="s">
        <v>15</v>
      </c>
      <c r="C12" s="4" t="s">
        <v>16</v>
      </c>
      <c r="D12" s="4" t="s">
        <v>17</v>
      </c>
      <c r="E12" s="4" t="s">
        <v>18</v>
      </c>
      <c r="F12" s="4" t="s">
        <v>6</v>
      </c>
      <c r="G12" s="4" t="s">
        <v>7</v>
      </c>
      <c r="H12" s="4" t="s">
        <v>5</v>
      </c>
    </row>
    <row r="13" customFormat="false" ht="25.5" hidden="false" customHeight="true" outlineLevel="0" collapsed="false">
      <c r="B13" s="13" t="s">
        <v>19</v>
      </c>
      <c r="C13" s="14" t="s">
        <v>20</v>
      </c>
      <c r="D13" s="15" t="s">
        <v>21</v>
      </c>
      <c r="E13" s="15" t="s">
        <v>21</v>
      </c>
      <c r="F13" s="16" t="n">
        <f aca="false">COUNTIF('📦 Product Backlog'!K:K,"Delivered")</f>
        <v>22</v>
      </c>
      <c r="G13" s="16" t="n">
        <f aca="false">SUMIF('📦 Product Backlog'!K:K,"Delivered",'📦 Product Backlog'!H:H)</f>
        <v>204</v>
      </c>
      <c r="H13" s="17" t="s">
        <v>10</v>
      </c>
    </row>
    <row r="14" customFormat="false" ht="25.5" hidden="false" customHeight="true" outlineLevel="0" collapsed="false">
      <c r="B14" s="18" t="s">
        <v>22</v>
      </c>
      <c r="C14" s="19" t="s">
        <v>23</v>
      </c>
      <c r="D14" s="20" t="s">
        <v>24</v>
      </c>
      <c r="E14" s="20" t="s">
        <v>25</v>
      </c>
      <c r="F14" s="21" t="n">
        <f aca="false">COUNTIF('📦 Product Backlog'!K:K,"Sprint 1")</f>
        <v>9</v>
      </c>
      <c r="G14" s="21" t="n">
        <f aca="false">SUMIF('📦 Product Backlog'!K:K,"Sprint 1",'📦 Product Backlog'!H:H)</f>
        <v>86</v>
      </c>
      <c r="H14" s="22" t="s">
        <v>26</v>
      </c>
    </row>
    <row r="15" customFormat="false" ht="25.5" hidden="false" customHeight="true" outlineLevel="0" collapsed="false">
      <c r="B15" s="18" t="s">
        <v>27</v>
      </c>
      <c r="C15" s="19" t="s">
        <v>28</v>
      </c>
      <c r="D15" s="20" t="s">
        <v>29</v>
      </c>
      <c r="E15" s="20" t="s">
        <v>30</v>
      </c>
      <c r="F15" s="21" t="n">
        <f aca="false">COUNTIF('📦 Product Backlog'!K:K,"Sprint 2")</f>
        <v>9</v>
      </c>
      <c r="G15" s="21" t="n">
        <f aca="false">SUMIF('📦 Product Backlog'!K:K,"Sprint 2",'📦 Product Backlog'!H:H)</f>
        <v>89</v>
      </c>
      <c r="H15" s="22" t="s">
        <v>26</v>
      </c>
    </row>
    <row r="16" customFormat="false" ht="25.5" hidden="false" customHeight="true" outlineLevel="0" collapsed="false">
      <c r="B16" s="18" t="s">
        <v>31</v>
      </c>
      <c r="C16" s="19" t="s">
        <v>32</v>
      </c>
      <c r="D16" s="20" t="s">
        <v>33</v>
      </c>
      <c r="E16" s="20" t="s">
        <v>34</v>
      </c>
      <c r="F16" s="21" t="n">
        <f aca="false">COUNTIF('📦 Product Backlog'!K:K,"Sprint 3")</f>
        <v>12</v>
      </c>
      <c r="G16" s="21" t="n">
        <f aca="false">SUMIF('📦 Product Backlog'!K:K,"Sprint 3",'📦 Product Backlog'!H:H)</f>
        <v>100</v>
      </c>
      <c r="H16" s="22" t="s">
        <v>26</v>
      </c>
    </row>
    <row r="17" customFormat="false" ht="25.5" hidden="false" customHeight="true" outlineLevel="0" collapsed="false">
      <c r="B17" s="18" t="s">
        <v>35</v>
      </c>
      <c r="C17" s="19" t="s">
        <v>36</v>
      </c>
      <c r="D17" s="20" t="s">
        <v>37</v>
      </c>
      <c r="E17" s="20" t="s">
        <v>38</v>
      </c>
      <c r="F17" s="21" t="n">
        <f aca="false">COUNTIF('📦 Product Backlog'!K:K,"Sprint 4")</f>
        <v>6</v>
      </c>
      <c r="G17" s="21" t="n">
        <f aca="false">SUMIF('📦 Product Backlog'!K:K,"Sprint 4",'📦 Product Backlog'!H:H)</f>
        <v>81</v>
      </c>
      <c r="H17" s="22" t="s">
        <v>26</v>
      </c>
    </row>
    <row r="18" customFormat="false" ht="25.5" hidden="false" customHeight="true" outlineLevel="0" collapsed="false">
      <c r="B18" s="18" t="s">
        <v>39</v>
      </c>
      <c r="C18" s="19" t="s">
        <v>40</v>
      </c>
      <c r="D18" s="20" t="s">
        <v>41</v>
      </c>
      <c r="E18" s="20" t="s">
        <v>42</v>
      </c>
      <c r="F18" s="21" t="n">
        <f aca="false">COUNTIF('📦 Product Backlog'!K:K,"Sprint 5")</f>
        <v>9</v>
      </c>
      <c r="G18" s="21" t="n">
        <f aca="false">SUMIF('📦 Product Backlog'!K:K,"Sprint 5",'📦 Product Backlog'!H:H)</f>
        <v>86</v>
      </c>
      <c r="H18" s="22" t="s">
        <v>26</v>
      </c>
    </row>
    <row r="19" customFormat="false" ht="25.5" hidden="false" customHeight="true" outlineLevel="0" collapsed="false">
      <c r="B19" s="18" t="s">
        <v>43</v>
      </c>
      <c r="C19" s="19" t="s">
        <v>44</v>
      </c>
      <c r="D19" s="20" t="s">
        <v>45</v>
      </c>
      <c r="E19" s="20" t="s">
        <v>46</v>
      </c>
      <c r="F19" s="21" t="n">
        <f aca="false">COUNTIF('📦 Product Backlog'!K:K,"Sprint 6")</f>
        <v>10</v>
      </c>
      <c r="G19" s="21" t="n">
        <f aca="false">SUMIF('📦 Product Backlog'!K:K,"Sprint 6",'📦 Product Backlog'!H:H)</f>
        <v>86</v>
      </c>
      <c r="H19" s="22" t="s">
        <v>26</v>
      </c>
    </row>
    <row r="20" customFormat="false" ht="25.5" hidden="false" customHeight="true" outlineLevel="0" collapsed="false">
      <c r="B20" s="18" t="s">
        <v>47</v>
      </c>
      <c r="C20" s="19" t="s">
        <v>48</v>
      </c>
      <c r="D20" s="20" t="s">
        <v>49</v>
      </c>
      <c r="E20" s="20" t="s">
        <v>50</v>
      </c>
      <c r="F20" s="21" t="n">
        <f aca="false">COUNTIF('📦 Product Backlog'!K:K,"Sprint 7")</f>
        <v>8</v>
      </c>
      <c r="G20" s="21" t="n">
        <f aca="false">SUMIF('📦 Product Backlog'!K:K,"Sprint 7",'📦 Product Backlog'!H:H)</f>
        <v>81</v>
      </c>
      <c r="H20" s="22" t="s">
        <v>26</v>
      </c>
    </row>
    <row r="21" customFormat="false" ht="25.5" hidden="false" customHeight="true" outlineLevel="0" collapsed="false">
      <c r="B21" s="18" t="s">
        <v>51</v>
      </c>
      <c r="C21" s="19" t="s">
        <v>52</v>
      </c>
      <c r="D21" s="20" t="s">
        <v>53</v>
      </c>
      <c r="E21" s="20" t="s">
        <v>54</v>
      </c>
      <c r="F21" s="21" t="n">
        <f aca="false">COUNTIF('📦 Product Backlog'!K:K,"Sprint 8")</f>
        <v>11</v>
      </c>
      <c r="G21" s="21" t="n">
        <f aca="false">SUMIF('📦 Product Backlog'!K:K,"Sprint 8",'📦 Product Backlog'!H:H)</f>
        <v>102</v>
      </c>
      <c r="H21" s="22" t="s">
        <v>26</v>
      </c>
    </row>
    <row r="22" customFormat="false" ht="25.5" hidden="false" customHeight="true" outlineLevel="0" collapsed="false">
      <c r="B22" s="18" t="s">
        <v>55</v>
      </c>
      <c r="C22" s="19" t="s">
        <v>56</v>
      </c>
      <c r="D22" s="20" t="s">
        <v>57</v>
      </c>
      <c r="E22" s="20" t="s">
        <v>58</v>
      </c>
      <c r="F22" s="21" t="n">
        <f aca="false">COUNTIF('📦 Product Backlog'!K:K,"Sprint 9")</f>
        <v>9</v>
      </c>
      <c r="G22" s="21" t="n">
        <f aca="false">SUMIF('📦 Product Backlog'!K:K,"Sprint 9",'📦 Product Backlog'!H:H)</f>
        <v>97</v>
      </c>
      <c r="H22" s="22" t="s">
        <v>26</v>
      </c>
    </row>
    <row r="23" customFormat="false" ht="25.5" hidden="false" customHeight="true" outlineLevel="0" collapsed="false">
      <c r="B23" s="18" t="s">
        <v>59</v>
      </c>
      <c r="C23" s="19" t="s">
        <v>60</v>
      </c>
      <c r="D23" s="20" t="s">
        <v>61</v>
      </c>
      <c r="E23" s="20" t="s">
        <v>62</v>
      </c>
      <c r="F23" s="21" t="n">
        <f aca="false">COUNTIF('📦 Product Backlog'!K:K,"Sprint 10")</f>
        <v>9</v>
      </c>
      <c r="G23" s="21" t="n">
        <f aca="false">SUMIF('📦 Product Backlog'!K:K,"Sprint 10",'📦 Product Backlog'!H:H)</f>
        <v>102</v>
      </c>
      <c r="H23" s="22" t="s">
        <v>26</v>
      </c>
    </row>
    <row r="24" customFormat="false" ht="25.5" hidden="false" customHeight="true" outlineLevel="0" collapsed="false">
      <c r="B24" s="18" t="s">
        <v>63</v>
      </c>
      <c r="C24" s="19" t="s">
        <v>64</v>
      </c>
      <c r="D24" s="20" t="s">
        <v>65</v>
      </c>
      <c r="E24" s="20" t="s">
        <v>65</v>
      </c>
      <c r="F24" s="21" t="n">
        <f aca="false">COUNTIF('📦 Product Backlog'!K:K,"Sprint 11+")</f>
        <v>10</v>
      </c>
      <c r="G24" s="21" t="n">
        <f aca="false">SUMIF('📦 Product Backlog'!K:K,"Sprint 11+",'📦 Product Backlog'!H:H)</f>
        <v>178</v>
      </c>
      <c r="H24" s="22" t="s">
        <v>26</v>
      </c>
    </row>
    <row r="26" customFormat="false" ht="15" hidden="false" customHeight="false" outlineLevel="0" collapsed="false">
      <c r="B26" s="23" t="s">
        <v>66</v>
      </c>
    </row>
    <row r="27" customFormat="false" ht="15" hidden="false" customHeight="false" outlineLevel="0" collapsed="false">
      <c r="B27" s="24" t="s">
        <v>67</v>
      </c>
      <c r="C27" s="25" t="s">
        <v>68</v>
      </c>
      <c r="D27" s="26" t="s">
        <v>69</v>
      </c>
      <c r="E27" s="27" t="s">
        <v>70</v>
      </c>
      <c r="F27" s="25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36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46"/>
    <col collapsed="false" customWidth="true" hidden="false" outlineLevel="0" max="13" min="13" style="0" width="16"/>
    <col collapsed="false" customWidth="true" hidden="false" outlineLevel="0" max="14" min="14" style="0" width="50"/>
  </cols>
  <sheetData>
    <row r="2" customFormat="false" ht="23.85" hidden="false" customHeight="false" outlineLevel="0" collapsed="false">
      <c r="B2" s="4" t="s">
        <v>72</v>
      </c>
      <c r="C2" s="4" t="s">
        <v>73</v>
      </c>
      <c r="D2" s="4" t="s">
        <v>74</v>
      </c>
      <c r="E2" s="4" t="s">
        <v>75</v>
      </c>
      <c r="F2" s="4" t="s">
        <v>76</v>
      </c>
      <c r="G2" s="4" t="s">
        <v>77</v>
      </c>
      <c r="H2" s="4" t="s">
        <v>78</v>
      </c>
      <c r="I2" s="4" t="s">
        <v>5</v>
      </c>
      <c r="J2" s="4" t="s">
        <v>79</v>
      </c>
      <c r="K2" s="4" t="s">
        <v>80</v>
      </c>
      <c r="L2" s="4" t="s">
        <v>81</v>
      </c>
      <c r="M2" s="4" t="s">
        <v>82</v>
      </c>
      <c r="N2" s="4" t="s">
        <v>83</v>
      </c>
    </row>
    <row r="3" customFormat="false" ht="24" hidden="false" customHeight="true" outlineLevel="0" collapsed="false">
      <c r="B3" s="28" t="s">
        <v>84</v>
      </c>
      <c r="C3" s="28" t="s">
        <v>85</v>
      </c>
      <c r="D3" s="29" t="s">
        <v>86</v>
      </c>
      <c r="E3" s="14" t="s">
        <v>87</v>
      </c>
      <c r="F3" s="30" t="s">
        <v>67</v>
      </c>
      <c r="G3" s="29" t="s">
        <v>88</v>
      </c>
      <c r="H3" s="29" t="n">
        <v>21</v>
      </c>
      <c r="I3" s="31" t="s">
        <v>10</v>
      </c>
      <c r="J3" s="29" t="s">
        <v>89</v>
      </c>
      <c r="K3" s="29" t="s">
        <v>19</v>
      </c>
      <c r="L3" s="14" t="s">
        <v>90</v>
      </c>
      <c r="M3" s="29" t="s">
        <v>21</v>
      </c>
      <c r="N3" s="14" t="s">
        <v>91</v>
      </c>
    </row>
    <row r="4" customFormat="false" ht="24" hidden="false" customHeight="true" outlineLevel="0" collapsed="false">
      <c r="B4" s="28"/>
      <c r="C4" s="28"/>
      <c r="D4" s="29" t="s">
        <v>92</v>
      </c>
      <c r="E4" s="14" t="s">
        <v>93</v>
      </c>
      <c r="F4" s="30" t="s">
        <v>67</v>
      </c>
      <c r="G4" s="29" t="s">
        <v>94</v>
      </c>
      <c r="H4" s="29" t="n">
        <v>8</v>
      </c>
      <c r="I4" s="31" t="s">
        <v>10</v>
      </c>
      <c r="J4" s="29" t="s">
        <v>89</v>
      </c>
      <c r="K4" s="29" t="s">
        <v>19</v>
      </c>
      <c r="L4" s="14" t="s">
        <v>95</v>
      </c>
      <c r="M4" s="29" t="s">
        <v>86</v>
      </c>
      <c r="N4" s="14" t="s">
        <v>96</v>
      </c>
    </row>
    <row r="5" customFormat="false" ht="24" hidden="false" customHeight="true" outlineLevel="0" collapsed="false">
      <c r="B5" s="28"/>
      <c r="C5" s="28"/>
      <c r="D5" s="29" t="s">
        <v>97</v>
      </c>
      <c r="E5" s="14" t="s">
        <v>98</v>
      </c>
      <c r="F5" s="30" t="s">
        <v>67</v>
      </c>
      <c r="G5" s="29" t="s">
        <v>94</v>
      </c>
      <c r="H5" s="29" t="n">
        <v>13</v>
      </c>
      <c r="I5" s="31" t="s">
        <v>10</v>
      </c>
      <c r="J5" s="29" t="s">
        <v>89</v>
      </c>
      <c r="K5" s="29" t="s">
        <v>19</v>
      </c>
      <c r="L5" s="14" t="s">
        <v>99</v>
      </c>
      <c r="M5" s="29" t="s">
        <v>86</v>
      </c>
      <c r="N5" s="14" t="s">
        <v>100</v>
      </c>
    </row>
    <row r="6" customFormat="false" ht="24" hidden="false" customHeight="true" outlineLevel="0" collapsed="false">
      <c r="B6" s="32"/>
      <c r="C6" s="32"/>
      <c r="D6" s="33" t="s">
        <v>101</v>
      </c>
      <c r="E6" s="19" t="s">
        <v>102</v>
      </c>
      <c r="F6" s="34" t="s">
        <v>68</v>
      </c>
      <c r="G6" s="33" t="s">
        <v>88</v>
      </c>
      <c r="H6" s="33" t="n">
        <v>8</v>
      </c>
      <c r="I6" s="35" t="s">
        <v>13</v>
      </c>
      <c r="J6" s="33" t="s">
        <v>103</v>
      </c>
      <c r="K6" s="33" t="s">
        <v>22</v>
      </c>
      <c r="L6" s="19" t="s">
        <v>104</v>
      </c>
      <c r="M6" s="33" t="s">
        <v>105</v>
      </c>
      <c r="N6" s="19" t="s">
        <v>106</v>
      </c>
    </row>
    <row r="7" customFormat="false" ht="24" hidden="false" customHeight="true" outlineLevel="0" collapsed="false">
      <c r="B7" s="32"/>
      <c r="C7" s="32"/>
      <c r="D7" s="33" t="s">
        <v>107</v>
      </c>
      <c r="E7" s="19" t="s">
        <v>108</v>
      </c>
      <c r="F7" s="35" t="s">
        <v>69</v>
      </c>
      <c r="G7" s="33" t="s">
        <v>109</v>
      </c>
      <c r="H7" s="33" t="n">
        <v>5</v>
      </c>
      <c r="I7" s="35" t="s">
        <v>13</v>
      </c>
      <c r="J7" s="33" t="s">
        <v>110</v>
      </c>
      <c r="K7" s="33" t="s">
        <v>35</v>
      </c>
      <c r="L7" s="19" t="s">
        <v>111</v>
      </c>
      <c r="M7" s="33" t="s">
        <v>86</v>
      </c>
      <c r="N7" s="19" t="s">
        <v>112</v>
      </c>
    </row>
    <row r="8" customFormat="false" ht="24" hidden="false" customHeight="true" outlineLevel="0" collapsed="false">
      <c r="B8" s="28" t="s">
        <v>113</v>
      </c>
      <c r="C8" s="28" t="s">
        <v>114</v>
      </c>
      <c r="D8" s="29" t="s">
        <v>115</v>
      </c>
      <c r="E8" s="14" t="s">
        <v>116</v>
      </c>
      <c r="F8" s="30" t="s">
        <v>67</v>
      </c>
      <c r="G8" s="29" t="s">
        <v>88</v>
      </c>
      <c r="H8" s="29" t="n">
        <v>13</v>
      </c>
      <c r="I8" s="31" t="s">
        <v>10</v>
      </c>
      <c r="J8" s="29" t="s">
        <v>89</v>
      </c>
      <c r="K8" s="29" t="s">
        <v>19</v>
      </c>
      <c r="L8" s="14" t="s">
        <v>117</v>
      </c>
      <c r="M8" s="29" t="s">
        <v>118</v>
      </c>
      <c r="N8" s="14" t="s">
        <v>119</v>
      </c>
    </row>
    <row r="9" customFormat="false" ht="24" hidden="false" customHeight="true" outlineLevel="0" collapsed="false">
      <c r="B9" s="36"/>
      <c r="C9" s="36"/>
      <c r="D9" s="37" t="s">
        <v>120</v>
      </c>
      <c r="E9" s="38" t="s">
        <v>121</v>
      </c>
      <c r="F9" s="39" t="s">
        <v>67</v>
      </c>
      <c r="G9" s="37" t="s">
        <v>94</v>
      </c>
      <c r="H9" s="37" t="n">
        <v>13</v>
      </c>
      <c r="I9" s="40" t="s">
        <v>12</v>
      </c>
      <c r="J9" s="37" t="s">
        <v>122</v>
      </c>
      <c r="K9" s="37" t="s">
        <v>51</v>
      </c>
      <c r="L9" s="38" t="s">
        <v>123</v>
      </c>
      <c r="M9" s="37" t="s">
        <v>115</v>
      </c>
      <c r="N9" s="38" t="s">
        <v>124</v>
      </c>
    </row>
    <row r="10" customFormat="false" ht="24" hidden="false" customHeight="true" outlineLevel="0" collapsed="false">
      <c r="B10" s="28"/>
      <c r="C10" s="28"/>
      <c r="D10" s="29" t="s">
        <v>125</v>
      </c>
      <c r="E10" s="14" t="s">
        <v>126</v>
      </c>
      <c r="F10" s="30" t="s">
        <v>67</v>
      </c>
      <c r="G10" s="29" t="s">
        <v>94</v>
      </c>
      <c r="H10" s="29" t="n">
        <v>8</v>
      </c>
      <c r="I10" s="31" t="s">
        <v>10</v>
      </c>
      <c r="J10" s="29" t="s">
        <v>89</v>
      </c>
      <c r="K10" s="29" t="s">
        <v>19</v>
      </c>
      <c r="L10" s="14" t="s">
        <v>127</v>
      </c>
      <c r="M10" s="29" t="s">
        <v>115</v>
      </c>
      <c r="N10" s="14" t="s">
        <v>128</v>
      </c>
    </row>
    <row r="11" customFormat="false" ht="24" hidden="false" customHeight="true" outlineLevel="0" collapsed="false">
      <c r="B11" s="36"/>
      <c r="C11" s="36"/>
      <c r="D11" s="37" t="s">
        <v>129</v>
      </c>
      <c r="E11" s="38" t="s">
        <v>130</v>
      </c>
      <c r="F11" s="40" t="s">
        <v>68</v>
      </c>
      <c r="G11" s="37" t="s">
        <v>109</v>
      </c>
      <c r="H11" s="37" t="n">
        <v>5</v>
      </c>
      <c r="I11" s="40" t="s">
        <v>12</v>
      </c>
      <c r="J11" s="37" t="s">
        <v>103</v>
      </c>
      <c r="K11" s="37" t="s">
        <v>22</v>
      </c>
      <c r="L11" s="38" t="s">
        <v>131</v>
      </c>
      <c r="M11" s="37" t="s">
        <v>132</v>
      </c>
      <c r="N11" s="38" t="s">
        <v>133</v>
      </c>
    </row>
    <row r="12" customFormat="false" ht="24" hidden="false" customHeight="true" outlineLevel="0" collapsed="false">
      <c r="B12" s="32"/>
      <c r="C12" s="32"/>
      <c r="D12" s="33" t="s">
        <v>134</v>
      </c>
      <c r="E12" s="19" t="s">
        <v>135</v>
      </c>
      <c r="F12" s="35" t="s">
        <v>69</v>
      </c>
      <c r="G12" s="33" t="s">
        <v>94</v>
      </c>
      <c r="H12" s="33" t="n">
        <v>8</v>
      </c>
      <c r="I12" s="35" t="s">
        <v>13</v>
      </c>
      <c r="J12" s="33" t="s">
        <v>110</v>
      </c>
      <c r="K12" s="33" t="s">
        <v>47</v>
      </c>
      <c r="L12" s="19" t="s">
        <v>136</v>
      </c>
      <c r="M12" s="33" t="s">
        <v>132</v>
      </c>
      <c r="N12" s="19" t="s">
        <v>137</v>
      </c>
    </row>
    <row r="13" customFormat="false" ht="24" hidden="false" customHeight="true" outlineLevel="0" collapsed="false">
      <c r="B13" s="28"/>
      <c r="C13" s="28"/>
      <c r="D13" s="29" t="s">
        <v>138</v>
      </c>
      <c r="E13" s="14" t="s">
        <v>139</v>
      </c>
      <c r="F13" s="30" t="s">
        <v>67</v>
      </c>
      <c r="G13" s="29" t="s">
        <v>94</v>
      </c>
      <c r="H13" s="29" t="n">
        <v>8</v>
      </c>
      <c r="I13" s="31" t="s">
        <v>10</v>
      </c>
      <c r="J13" s="29" t="s">
        <v>89</v>
      </c>
      <c r="K13" s="29" t="s">
        <v>19</v>
      </c>
      <c r="L13" s="14" t="s">
        <v>140</v>
      </c>
      <c r="M13" s="29" t="s">
        <v>120</v>
      </c>
      <c r="N13" s="14" t="s">
        <v>141</v>
      </c>
    </row>
    <row r="14" customFormat="false" ht="24" hidden="false" customHeight="true" outlineLevel="0" collapsed="false">
      <c r="B14" s="28"/>
      <c r="C14" s="28"/>
      <c r="D14" s="29" t="s">
        <v>142</v>
      </c>
      <c r="E14" s="14" t="s">
        <v>143</v>
      </c>
      <c r="F14" s="30" t="s">
        <v>67</v>
      </c>
      <c r="G14" s="29" t="s">
        <v>94</v>
      </c>
      <c r="H14" s="29" t="n">
        <v>8</v>
      </c>
      <c r="I14" s="31" t="s">
        <v>10</v>
      </c>
      <c r="J14" s="29" t="s">
        <v>89</v>
      </c>
      <c r="K14" s="29" t="s">
        <v>19</v>
      </c>
      <c r="L14" s="14" t="s">
        <v>144</v>
      </c>
      <c r="M14" s="29" t="s">
        <v>115</v>
      </c>
      <c r="N14" s="14" t="s">
        <v>145</v>
      </c>
    </row>
    <row r="15" customFormat="false" ht="24" hidden="false" customHeight="true" outlineLevel="0" collapsed="false">
      <c r="B15" s="32"/>
      <c r="C15" s="32"/>
      <c r="D15" s="33" t="s">
        <v>146</v>
      </c>
      <c r="E15" s="19" t="s">
        <v>147</v>
      </c>
      <c r="F15" s="34" t="s">
        <v>68</v>
      </c>
      <c r="G15" s="33" t="s">
        <v>94</v>
      </c>
      <c r="H15" s="33" t="n">
        <v>5</v>
      </c>
      <c r="I15" s="35" t="s">
        <v>13</v>
      </c>
      <c r="J15" s="33" t="s">
        <v>122</v>
      </c>
      <c r="K15" s="33" t="s">
        <v>59</v>
      </c>
      <c r="L15" s="19" t="s">
        <v>148</v>
      </c>
      <c r="M15" s="33" t="s">
        <v>125</v>
      </c>
      <c r="N15" s="19" t="s">
        <v>149</v>
      </c>
    </row>
    <row r="16" customFormat="false" ht="24" hidden="false" customHeight="true" outlineLevel="0" collapsed="false">
      <c r="B16" s="32"/>
      <c r="C16" s="32"/>
      <c r="D16" s="33" t="s">
        <v>150</v>
      </c>
      <c r="E16" s="19" t="s">
        <v>151</v>
      </c>
      <c r="F16" s="35" t="s">
        <v>69</v>
      </c>
      <c r="G16" s="33" t="s">
        <v>109</v>
      </c>
      <c r="H16" s="33" t="n">
        <v>8</v>
      </c>
      <c r="I16" s="35" t="s">
        <v>13</v>
      </c>
      <c r="J16" s="33" t="s">
        <v>122</v>
      </c>
      <c r="K16" s="33" t="s">
        <v>59</v>
      </c>
      <c r="L16" s="19" t="s">
        <v>152</v>
      </c>
      <c r="M16" s="33" t="s">
        <v>120</v>
      </c>
      <c r="N16" s="19" t="s">
        <v>153</v>
      </c>
    </row>
    <row r="17" customFormat="false" ht="24" hidden="false" customHeight="true" outlineLevel="0" collapsed="false">
      <c r="B17" s="36" t="s">
        <v>154</v>
      </c>
      <c r="C17" s="36" t="s">
        <v>155</v>
      </c>
      <c r="D17" s="37" t="s">
        <v>156</v>
      </c>
      <c r="E17" s="38" t="s">
        <v>157</v>
      </c>
      <c r="F17" s="39" t="s">
        <v>67</v>
      </c>
      <c r="G17" s="37" t="s">
        <v>94</v>
      </c>
      <c r="H17" s="37" t="n">
        <v>13</v>
      </c>
      <c r="I17" s="40" t="s">
        <v>12</v>
      </c>
      <c r="J17" s="37" t="s">
        <v>103</v>
      </c>
      <c r="K17" s="37" t="s">
        <v>22</v>
      </c>
      <c r="L17" s="38" t="s">
        <v>158</v>
      </c>
      <c r="M17" s="37" t="s">
        <v>125</v>
      </c>
      <c r="N17" s="38" t="s">
        <v>159</v>
      </c>
    </row>
    <row r="18" customFormat="false" ht="24" hidden="false" customHeight="true" outlineLevel="0" collapsed="false">
      <c r="B18" s="36"/>
      <c r="C18" s="36"/>
      <c r="D18" s="37" t="s">
        <v>160</v>
      </c>
      <c r="E18" s="38" t="s">
        <v>161</v>
      </c>
      <c r="F18" s="39" t="s">
        <v>67</v>
      </c>
      <c r="G18" s="37" t="s">
        <v>88</v>
      </c>
      <c r="H18" s="37" t="n">
        <v>21</v>
      </c>
      <c r="I18" s="40" t="s">
        <v>12</v>
      </c>
      <c r="J18" s="37" t="s">
        <v>103</v>
      </c>
      <c r="K18" s="37" t="s">
        <v>22</v>
      </c>
      <c r="L18" s="38" t="s">
        <v>162</v>
      </c>
      <c r="M18" s="37" t="s">
        <v>163</v>
      </c>
      <c r="N18" s="38" t="s">
        <v>164</v>
      </c>
    </row>
    <row r="19" customFormat="false" ht="24" hidden="false" customHeight="true" outlineLevel="0" collapsed="false">
      <c r="B19" s="28"/>
      <c r="C19" s="28"/>
      <c r="D19" s="29" t="s">
        <v>165</v>
      </c>
      <c r="E19" s="14" t="s">
        <v>166</v>
      </c>
      <c r="F19" s="30" t="s">
        <v>67</v>
      </c>
      <c r="G19" s="29" t="s">
        <v>109</v>
      </c>
      <c r="H19" s="29" t="n">
        <v>5</v>
      </c>
      <c r="I19" s="31" t="s">
        <v>10</v>
      </c>
      <c r="J19" s="29" t="s">
        <v>89</v>
      </c>
      <c r="K19" s="29" t="s">
        <v>19</v>
      </c>
      <c r="L19" s="14" t="s">
        <v>167</v>
      </c>
      <c r="M19" s="29" t="s">
        <v>156</v>
      </c>
      <c r="N19" s="14" t="s">
        <v>168</v>
      </c>
    </row>
    <row r="20" customFormat="false" ht="24" hidden="false" customHeight="true" outlineLevel="0" collapsed="false">
      <c r="B20" s="36"/>
      <c r="C20" s="36"/>
      <c r="D20" s="37" t="s">
        <v>169</v>
      </c>
      <c r="E20" s="38" t="s">
        <v>170</v>
      </c>
      <c r="F20" s="39" t="s">
        <v>67</v>
      </c>
      <c r="G20" s="37" t="s">
        <v>88</v>
      </c>
      <c r="H20" s="37" t="n">
        <v>13</v>
      </c>
      <c r="I20" s="40" t="s">
        <v>12</v>
      </c>
      <c r="J20" s="37" t="s">
        <v>103</v>
      </c>
      <c r="K20" s="37" t="s">
        <v>22</v>
      </c>
      <c r="L20" s="38" t="s">
        <v>171</v>
      </c>
      <c r="M20" s="37" t="s">
        <v>172</v>
      </c>
      <c r="N20" s="38" t="s">
        <v>173</v>
      </c>
    </row>
    <row r="21" customFormat="false" ht="24" hidden="false" customHeight="true" outlineLevel="0" collapsed="false">
      <c r="B21" s="32"/>
      <c r="C21" s="32"/>
      <c r="D21" s="33" t="s">
        <v>174</v>
      </c>
      <c r="E21" s="19" t="s">
        <v>175</v>
      </c>
      <c r="F21" s="34" t="s">
        <v>68</v>
      </c>
      <c r="G21" s="33" t="s">
        <v>94</v>
      </c>
      <c r="H21" s="33" t="n">
        <v>8</v>
      </c>
      <c r="I21" s="35" t="s">
        <v>13</v>
      </c>
      <c r="J21" s="33" t="s">
        <v>103</v>
      </c>
      <c r="K21" s="33" t="s">
        <v>31</v>
      </c>
      <c r="L21" s="19" t="s">
        <v>176</v>
      </c>
      <c r="M21" s="33" t="s">
        <v>160</v>
      </c>
      <c r="N21" s="19" t="s">
        <v>177</v>
      </c>
    </row>
    <row r="22" customFormat="false" ht="24" hidden="false" customHeight="true" outlineLevel="0" collapsed="false">
      <c r="B22" s="32"/>
      <c r="C22" s="32"/>
      <c r="D22" s="33" t="s">
        <v>178</v>
      </c>
      <c r="E22" s="19" t="s">
        <v>179</v>
      </c>
      <c r="F22" s="34" t="s">
        <v>68</v>
      </c>
      <c r="G22" s="33" t="s">
        <v>94</v>
      </c>
      <c r="H22" s="33" t="n">
        <v>8</v>
      </c>
      <c r="I22" s="35" t="s">
        <v>13</v>
      </c>
      <c r="J22" s="33" t="s">
        <v>103</v>
      </c>
      <c r="K22" s="33" t="s">
        <v>31</v>
      </c>
      <c r="L22" s="19" t="s">
        <v>180</v>
      </c>
      <c r="M22" s="33" t="s">
        <v>169</v>
      </c>
      <c r="N22" s="19" t="s">
        <v>181</v>
      </c>
    </row>
    <row r="23" customFormat="false" ht="24" hidden="false" customHeight="true" outlineLevel="0" collapsed="false">
      <c r="B23" s="32"/>
      <c r="C23" s="32"/>
      <c r="D23" s="33" t="s">
        <v>182</v>
      </c>
      <c r="E23" s="19" t="s">
        <v>183</v>
      </c>
      <c r="F23" s="34" t="s">
        <v>68</v>
      </c>
      <c r="G23" s="33" t="s">
        <v>88</v>
      </c>
      <c r="H23" s="33" t="n">
        <v>13</v>
      </c>
      <c r="I23" s="35" t="s">
        <v>13</v>
      </c>
      <c r="J23" s="33" t="s">
        <v>184</v>
      </c>
      <c r="K23" s="33" t="s">
        <v>63</v>
      </c>
      <c r="L23" s="19" t="s">
        <v>185</v>
      </c>
      <c r="M23" s="33" t="s">
        <v>160</v>
      </c>
      <c r="N23" s="19" t="s">
        <v>186</v>
      </c>
    </row>
    <row r="24" customFormat="false" ht="24" hidden="false" customHeight="true" outlineLevel="0" collapsed="false">
      <c r="B24" s="32"/>
      <c r="C24" s="32"/>
      <c r="D24" s="33" t="s">
        <v>187</v>
      </c>
      <c r="E24" s="19" t="s">
        <v>188</v>
      </c>
      <c r="F24" s="41" t="s">
        <v>67</v>
      </c>
      <c r="G24" s="33" t="s">
        <v>94</v>
      </c>
      <c r="H24" s="33" t="n">
        <v>8</v>
      </c>
      <c r="I24" s="35" t="s">
        <v>13</v>
      </c>
      <c r="J24" s="33" t="s">
        <v>103</v>
      </c>
      <c r="K24" s="33" t="s">
        <v>31</v>
      </c>
      <c r="L24" s="19" t="s">
        <v>189</v>
      </c>
      <c r="M24" s="33" t="s">
        <v>160</v>
      </c>
      <c r="N24" s="19" t="s">
        <v>190</v>
      </c>
    </row>
    <row r="25" customFormat="false" ht="24" hidden="false" customHeight="true" outlineLevel="0" collapsed="false">
      <c r="B25" s="32"/>
      <c r="C25" s="32"/>
      <c r="D25" s="33" t="s">
        <v>191</v>
      </c>
      <c r="E25" s="19" t="s">
        <v>192</v>
      </c>
      <c r="F25" s="41" t="s">
        <v>67</v>
      </c>
      <c r="G25" s="33" t="s">
        <v>109</v>
      </c>
      <c r="H25" s="33" t="n">
        <v>5</v>
      </c>
      <c r="I25" s="35" t="s">
        <v>13</v>
      </c>
      <c r="J25" s="33" t="s">
        <v>103</v>
      </c>
      <c r="K25" s="33" t="s">
        <v>22</v>
      </c>
      <c r="L25" s="19" t="s">
        <v>193</v>
      </c>
      <c r="M25" s="33" t="s">
        <v>194</v>
      </c>
      <c r="N25" s="19" t="s">
        <v>195</v>
      </c>
    </row>
    <row r="26" customFormat="false" ht="24" hidden="false" customHeight="true" outlineLevel="0" collapsed="false">
      <c r="B26" s="32"/>
      <c r="C26" s="32"/>
      <c r="D26" s="33" t="s">
        <v>196</v>
      </c>
      <c r="E26" s="19" t="s">
        <v>197</v>
      </c>
      <c r="F26" s="41" t="s">
        <v>67</v>
      </c>
      <c r="G26" s="33" t="s">
        <v>94</v>
      </c>
      <c r="H26" s="33" t="n">
        <v>8</v>
      </c>
      <c r="I26" s="35" t="s">
        <v>13</v>
      </c>
      <c r="J26" s="33" t="s">
        <v>103</v>
      </c>
      <c r="K26" s="33" t="s">
        <v>31</v>
      </c>
      <c r="L26" s="19" t="s">
        <v>198</v>
      </c>
      <c r="M26" s="33" t="s">
        <v>199</v>
      </c>
      <c r="N26" s="19" t="s">
        <v>200</v>
      </c>
    </row>
    <row r="27" customFormat="false" ht="24" hidden="false" customHeight="true" outlineLevel="0" collapsed="false">
      <c r="B27" s="32" t="s">
        <v>201</v>
      </c>
      <c r="C27" s="32" t="s">
        <v>202</v>
      </c>
      <c r="D27" s="33" t="s">
        <v>203</v>
      </c>
      <c r="E27" s="19" t="s">
        <v>204</v>
      </c>
      <c r="F27" s="41" t="s">
        <v>67</v>
      </c>
      <c r="G27" s="33" t="s">
        <v>88</v>
      </c>
      <c r="H27" s="33" t="n">
        <v>21</v>
      </c>
      <c r="I27" s="35" t="s">
        <v>13</v>
      </c>
      <c r="J27" s="33" t="s">
        <v>110</v>
      </c>
      <c r="K27" s="33" t="s">
        <v>35</v>
      </c>
      <c r="L27" s="19" t="s">
        <v>205</v>
      </c>
      <c r="M27" s="33" t="s">
        <v>206</v>
      </c>
      <c r="N27" s="19" t="s">
        <v>207</v>
      </c>
    </row>
    <row r="28" customFormat="false" ht="24" hidden="false" customHeight="true" outlineLevel="0" collapsed="false">
      <c r="B28" s="32"/>
      <c r="C28" s="32"/>
      <c r="D28" s="33" t="s">
        <v>208</v>
      </c>
      <c r="E28" s="19" t="s">
        <v>209</v>
      </c>
      <c r="F28" s="41" t="s">
        <v>67</v>
      </c>
      <c r="G28" s="33" t="s">
        <v>88</v>
      </c>
      <c r="H28" s="33" t="n">
        <v>13</v>
      </c>
      <c r="I28" s="35" t="s">
        <v>13</v>
      </c>
      <c r="J28" s="33" t="s">
        <v>110</v>
      </c>
      <c r="K28" s="33" t="s">
        <v>35</v>
      </c>
      <c r="L28" s="19" t="s">
        <v>210</v>
      </c>
      <c r="M28" s="33" t="s">
        <v>211</v>
      </c>
      <c r="N28" s="19" t="s">
        <v>212</v>
      </c>
    </row>
    <row r="29" customFormat="false" ht="24" hidden="false" customHeight="true" outlineLevel="0" collapsed="false">
      <c r="B29" s="32"/>
      <c r="C29" s="32"/>
      <c r="D29" s="33" t="s">
        <v>213</v>
      </c>
      <c r="E29" s="19" t="s">
        <v>214</v>
      </c>
      <c r="F29" s="41" t="s">
        <v>67</v>
      </c>
      <c r="G29" s="33" t="s">
        <v>94</v>
      </c>
      <c r="H29" s="33" t="n">
        <v>13</v>
      </c>
      <c r="I29" s="35" t="s">
        <v>13</v>
      </c>
      <c r="J29" s="33" t="s">
        <v>110</v>
      </c>
      <c r="K29" s="33" t="s">
        <v>35</v>
      </c>
      <c r="L29" s="19" t="s">
        <v>215</v>
      </c>
      <c r="M29" s="33" t="s">
        <v>208</v>
      </c>
      <c r="N29" s="19" t="s">
        <v>216</v>
      </c>
    </row>
    <row r="30" customFormat="false" ht="24" hidden="false" customHeight="true" outlineLevel="0" collapsed="false">
      <c r="B30" s="32"/>
      <c r="C30" s="32"/>
      <c r="D30" s="33" t="s">
        <v>217</v>
      </c>
      <c r="E30" s="19" t="s">
        <v>218</v>
      </c>
      <c r="F30" s="41" t="s">
        <v>67</v>
      </c>
      <c r="G30" s="33" t="s">
        <v>94</v>
      </c>
      <c r="H30" s="33" t="n">
        <v>13</v>
      </c>
      <c r="I30" s="35" t="s">
        <v>13</v>
      </c>
      <c r="J30" s="33" t="s">
        <v>110</v>
      </c>
      <c r="K30" s="33" t="s">
        <v>39</v>
      </c>
      <c r="L30" s="19" t="s">
        <v>219</v>
      </c>
      <c r="M30" s="33" t="s">
        <v>220</v>
      </c>
      <c r="N30" s="19" t="s">
        <v>221</v>
      </c>
    </row>
    <row r="31" customFormat="false" ht="24" hidden="false" customHeight="true" outlineLevel="0" collapsed="false">
      <c r="B31" s="32"/>
      <c r="C31" s="32"/>
      <c r="D31" s="33" t="s">
        <v>222</v>
      </c>
      <c r="E31" s="19" t="s">
        <v>223</v>
      </c>
      <c r="F31" s="34" t="s">
        <v>68</v>
      </c>
      <c r="G31" s="33" t="s">
        <v>109</v>
      </c>
      <c r="H31" s="33" t="n">
        <v>5</v>
      </c>
      <c r="I31" s="35" t="s">
        <v>13</v>
      </c>
      <c r="J31" s="33" t="s">
        <v>110</v>
      </c>
      <c r="K31" s="33" t="s">
        <v>39</v>
      </c>
      <c r="L31" s="19" t="s">
        <v>224</v>
      </c>
      <c r="M31" s="33" t="s">
        <v>208</v>
      </c>
      <c r="N31" s="19" t="s">
        <v>225</v>
      </c>
    </row>
    <row r="32" customFormat="false" ht="24" hidden="false" customHeight="true" outlineLevel="0" collapsed="false">
      <c r="B32" s="36" t="s">
        <v>226</v>
      </c>
      <c r="C32" s="36" t="s">
        <v>227</v>
      </c>
      <c r="D32" s="37" t="s">
        <v>228</v>
      </c>
      <c r="E32" s="38" t="s">
        <v>229</v>
      </c>
      <c r="F32" s="39" t="s">
        <v>67</v>
      </c>
      <c r="G32" s="37" t="s">
        <v>88</v>
      </c>
      <c r="H32" s="37" t="n">
        <v>8</v>
      </c>
      <c r="I32" s="40" t="s">
        <v>12</v>
      </c>
      <c r="J32" s="37" t="s">
        <v>110</v>
      </c>
      <c r="K32" s="37" t="s">
        <v>43</v>
      </c>
      <c r="L32" s="38" t="s">
        <v>230</v>
      </c>
      <c r="M32" s="37" t="s">
        <v>21</v>
      </c>
      <c r="N32" s="38" t="s">
        <v>231</v>
      </c>
    </row>
    <row r="33" customFormat="false" ht="24" hidden="false" customHeight="true" outlineLevel="0" collapsed="false">
      <c r="B33" s="36"/>
      <c r="C33" s="36"/>
      <c r="D33" s="37" t="s">
        <v>232</v>
      </c>
      <c r="E33" s="38" t="s">
        <v>233</v>
      </c>
      <c r="F33" s="39" t="s">
        <v>67</v>
      </c>
      <c r="G33" s="37" t="s">
        <v>88</v>
      </c>
      <c r="H33" s="37" t="n">
        <v>13</v>
      </c>
      <c r="I33" s="40" t="s">
        <v>12</v>
      </c>
      <c r="J33" s="37" t="s">
        <v>110</v>
      </c>
      <c r="K33" s="37" t="s">
        <v>43</v>
      </c>
      <c r="L33" s="38" t="s">
        <v>234</v>
      </c>
      <c r="M33" s="37" t="s">
        <v>228</v>
      </c>
      <c r="N33" s="38" t="s">
        <v>235</v>
      </c>
    </row>
    <row r="34" customFormat="false" ht="24" hidden="false" customHeight="true" outlineLevel="0" collapsed="false">
      <c r="B34" s="32"/>
      <c r="C34" s="32"/>
      <c r="D34" s="33" t="s">
        <v>236</v>
      </c>
      <c r="E34" s="19" t="s">
        <v>237</v>
      </c>
      <c r="F34" s="41" t="s">
        <v>67</v>
      </c>
      <c r="G34" s="33" t="s">
        <v>88</v>
      </c>
      <c r="H34" s="33" t="n">
        <v>13</v>
      </c>
      <c r="I34" s="35" t="s">
        <v>13</v>
      </c>
      <c r="J34" s="33" t="s">
        <v>110</v>
      </c>
      <c r="K34" s="33" t="s">
        <v>43</v>
      </c>
      <c r="L34" s="19" t="s">
        <v>238</v>
      </c>
      <c r="M34" s="33" t="s">
        <v>232</v>
      </c>
      <c r="N34" s="19" t="s">
        <v>239</v>
      </c>
    </row>
    <row r="35" customFormat="false" ht="24" hidden="false" customHeight="true" outlineLevel="0" collapsed="false">
      <c r="B35" s="32"/>
      <c r="C35" s="32"/>
      <c r="D35" s="33" t="s">
        <v>240</v>
      </c>
      <c r="E35" s="19" t="s">
        <v>241</v>
      </c>
      <c r="F35" s="41" t="s">
        <v>67</v>
      </c>
      <c r="G35" s="33" t="s">
        <v>94</v>
      </c>
      <c r="H35" s="33" t="n">
        <v>13</v>
      </c>
      <c r="I35" s="35" t="s">
        <v>13</v>
      </c>
      <c r="J35" s="33" t="s">
        <v>110</v>
      </c>
      <c r="K35" s="33" t="s">
        <v>43</v>
      </c>
      <c r="L35" s="19" t="s">
        <v>242</v>
      </c>
      <c r="M35" s="33" t="s">
        <v>236</v>
      </c>
      <c r="N35" s="19" t="s">
        <v>243</v>
      </c>
    </row>
    <row r="36" customFormat="false" ht="24" hidden="false" customHeight="true" outlineLevel="0" collapsed="false">
      <c r="B36" s="32"/>
      <c r="C36" s="32"/>
      <c r="D36" s="33" t="s">
        <v>244</v>
      </c>
      <c r="E36" s="19" t="s">
        <v>245</v>
      </c>
      <c r="F36" s="41" t="s">
        <v>67</v>
      </c>
      <c r="G36" s="33" t="s">
        <v>94</v>
      </c>
      <c r="H36" s="33" t="n">
        <v>8</v>
      </c>
      <c r="I36" s="35" t="s">
        <v>13</v>
      </c>
      <c r="J36" s="33" t="s">
        <v>110</v>
      </c>
      <c r="K36" s="33" t="s">
        <v>43</v>
      </c>
      <c r="L36" s="19" t="s">
        <v>246</v>
      </c>
      <c r="M36" s="33" t="s">
        <v>240</v>
      </c>
      <c r="N36" s="19" t="s">
        <v>247</v>
      </c>
    </row>
    <row r="37" customFormat="false" ht="24" hidden="false" customHeight="true" outlineLevel="0" collapsed="false">
      <c r="B37" s="32"/>
      <c r="C37" s="32"/>
      <c r="D37" s="33" t="s">
        <v>248</v>
      </c>
      <c r="E37" s="19" t="s">
        <v>249</v>
      </c>
      <c r="F37" s="34" t="s">
        <v>68</v>
      </c>
      <c r="G37" s="33" t="s">
        <v>88</v>
      </c>
      <c r="H37" s="33" t="n">
        <v>21</v>
      </c>
      <c r="I37" s="35" t="s">
        <v>13</v>
      </c>
      <c r="J37" s="33" t="s">
        <v>122</v>
      </c>
      <c r="K37" s="33" t="s">
        <v>59</v>
      </c>
      <c r="L37" s="19" t="s">
        <v>250</v>
      </c>
      <c r="M37" s="33" t="s">
        <v>236</v>
      </c>
      <c r="N37" s="19" t="s">
        <v>251</v>
      </c>
    </row>
    <row r="38" customFormat="false" ht="24" hidden="false" customHeight="true" outlineLevel="0" collapsed="false">
      <c r="B38" s="32"/>
      <c r="C38" s="32"/>
      <c r="D38" s="33" t="s">
        <v>252</v>
      </c>
      <c r="E38" s="19" t="s">
        <v>253</v>
      </c>
      <c r="F38" s="41" t="s">
        <v>67</v>
      </c>
      <c r="G38" s="33" t="s">
        <v>94</v>
      </c>
      <c r="H38" s="33" t="n">
        <v>5</v>
      </c>
      <c r="I38" s="35" t="s">
        <v>13</v>
      </c>
      <c r="J38" s="33" t="s">
        <v>110</v>
      </c>
      <c r="K38" s="33" t="s">
        <v>43</v>
      </c>
      <c r="L38" s="19" t="s">
        <v>254</v>
      </c>
      <c r="M38" s="33" t="s">
        <v>228</v>
      </c>
      <c r="N38" s="19" t="s">
        <v>255</v>
      </c>
    </row>
    <row r="39" customFormat="false" ht="24" hidden="false" customHeight="true" outlineLevel="0" collapsed="false">
      <c r="B39" s="32"/>
      <c r="C39" s="32"/>
      <c r="D39" s="33" t="s">
        <v>256</v>
      </c>
      <c r="E39" s="19" t="s">
        <v>257</v>
      </c>
      <c r="F39" s="41" t="s">
        <v>67</v>
      </c>
      <c r="G39" s="33" t="s">
        <v>94</v>
      </c>
      <c r="H39" s="33" t="n">
        <v>5</v>
      </c>
      <c r="I39" s="35" t="s">
        <v>13</v>
      </c>
      <c r="J39" s="33" t="s">
        <v>110</v>
      </c>
      <c r="K39" s="33" t="s">
        <v>43</v>
      </c>
      <c r="L39" s="19" t="s">
        <v>258</v>
      </c>
      <c r="M39" s="33" t="s">
        <v>240</v>
      </c>
      <c r="N39" s="19" t="s">
        <v>259</v>
      </c>
    </row>
    <row r="40" customFormat="false" ht="24" hidden="false" customHeight="true" outlineLevel="0" collapsed="false">
      <c r="B40" s="32"/>
      <c r="C40" s="32"/>
      <c r="D40" s="33" t="s">
        <v>260</v>
      </c>
      <c r="E40" s="19" t="s">
        <v>261</v>
      </c>
      <c r="F40" s="34" t="s">
        <v>68</v>
      </c>
      <c r="G40" s="33" t="s">
        <v>88</v>
      </c>
      <c r="H40" s="33" t="n">
        <v>8</v>
      </c>
      <c r="I40" s="35" t="s">
        <v>13</v>
      </c>
      <c r="J40" s="33" t="s">
        <v>122</v>
      </c>
      <c r="K40" s="33" t="s">
        <v>59</v>
      </c>
      <c r="L40" s="19" t="s">
        <v>262</v>
      </c>
      <c r="M40" s="33" t="s">
        <v>240</v>
      </c>
      <c r="N40" s="19" t="s">
        <v>263</v>
      </c>
    </row>
    <row r="41" customFormat="false" ht="24" hidden="false" customHeight="true" outlineLevel="0" collapsed="false">
      <c r="B41" s="32"/>
      <c r="C41" s="32"/>
      <c r="D41" s="33" t="s">
        <v>264</v>
      </c>
      <c r="E41" s="19" t="s">
        <v>265</v>
      </c>
      <c r="F41" s="34" t="s">
        <v>68</v>
      </c>
      <c r="G41" s="33" t="s">
        <v>88</v>
      </c>
      <c r="H41" s="33" t="n">
        <v>13</v>
      </c>
      <c r="I41" s="35" t="s">
        <v>13</v>
      </c>
      <c r="J41" s="33" t="s">
        <v>122</v>
      </c>
      <c r="K41" s="33" t="s">
        <v>59</v>
      </c>
      <c r="L41" s="19" t="s">
        <v>266</v>
      </c>
      <c r="M41" s="33" t="s">
        <v>240</v>
      </c>
      <c r="N41" s="19" t="s">
        <v>267</v>
      </c>
    </row>
    <row r="42" customFormat="false" ht="24" hidden="false" customHeight="true" outlineLevel="0" collapsed="false">
      <c r="B42" s="32" t="s">
        <v>268</v>
      </c>
      <c r="C42" s="32" t="s">
        <v>269</v>
      </c>
      <c r="D42" s="33" t="s">
        <v>270</v>
      </c>
      <c r="E42" s="19" t="s">
        <v>271</v>
      </c>
      <c r="F42" s="41" t="s">
        <v>67</v>
      </c>
      <c r="G42" s="33" t="s">
        <v>94</v>
      </c>
      <c r="H42" s="33" t="n">
        <v>8</v>
      </c>
      <c r="I42" s="35" t="s">
        <v>13</v>
      </c>
      <c r="J42" s="33" t="s">
        <v>110</v>
      </c>
      <c r="K42" s="33" t="s">
        <v>47</v>
      </c>
      <c r="L42" s="19" t="s">
        <v>272</v>
      </c>
      <c r="M42" s="33" t="s">
        <v>206</v>
      </c>
      <c r="N42" s="19" t="s">
        <v>273</v>
      </c>
    </row>
    <row r="43" customFormat="false" ht="24" hidden="false" customHeight="true" outlineLevel="0" collapsed="false">
      <c r="B43" s="32"/>
      <c r="C43" s="32"/>
      <c r="D43" s="33" t="s">
        <v>274</v>
      </c>
      <c r="E43" s="19" t="s">
        <v>275</v>
      </c>
      <c r="F43" s="34" t="s">
        <v>68</v>
      </c>
      <c r="G43" s="33" t="s">
        <v>88</v>
      </c>
      <c r="H43" s="33" t="n">
        <v>21</v>
      </c>
      <c r="I43" s="35" t="s">
        <v>13</v>
      </c>
      <c r="J43" s="33" t="s">
        <v>184</v>
      </c>
      <c r="K43" s="33" t="s">
        <v>63</v>
      </c>
      <c r="L43" s="19" t="s">
        <v>276</v>
      </c>
      <c r="M43" s="33" t="s">
        <v>270</v>
      </c>
      <c r="N43" s="19" t="s">
        <v>277</v>
      </c>
    </row>
    <row r="44" customFormat="false" ht="24" hidden="false" customHeight="true" outlineLevel="0" collapsed="false">
      <c r="B44" s="32"/>
      <c r="C44" s="32"/>
      <c r="D44" s="33" t="s">
        <v>278</v>
      </c>
      <c r="E44" s="19" t="s">
        <v>279</v>
      </c>
      <c r="F44" s="41" t="s">
        <v>67</v>
      </c>
      <c r="G44" s="33" t="s">
        <v>94</v>
      </c>
      <c r="H44" s="33" t="n">
        <v>13</v>
      </c>
      <c r="I44" s="35" t="s">
        <v>13</v>
      </c>
      <c r="J44" s="33" t="s">
        <v>110</v>
      </c>
      <c r="K44" s="33" t="s">
        <v>47</v>
      </c>
      <c r="L44" s="19" t="s">
        <v>280</v>
      </c>
      <c r="M44" s="33" t="s">
        <v>270</v>
      </c>
      <c r="N44" s="19" t="s">
        <v>281</v>
      </c>
    </row>
    <row r="45" customFormat="false" ht="24" hidden="false" customHeight="true" outlineLevel="0" collapsed="false">
      <c r="B45" s="32" t="s">
        <v>282</v>
      </c>
      <c r="C45" s="32" t="s">
        <v>283</v>
      </c>
      <c r="D45" s="33" t="s">
        <v>284</v>
      </c>
      <c r="E45" s="19" t="s">
        <v>285</v>
      </c>
      <c r="F45" s="41" t="s">
        <v>67</v>
      </c>
      <c r="G45" s="33" t="s">
        <v>88</v>
      </c>
      <c r="H45" s="33" t="n">
        <v>13</v>
      </c>
      <c r="I45" s="35" t="s">
        <v>13</v>
      </c>
      <c r="J45" s="33" t="s">
        <v>103</v>
      </c>
      <c r="K45" s="33" t="s">
        <v>27</v>
      </c>
      <c r="L45" s="19" t="s">
        <v>286</v>
      </c>
      <c r="M45" s="33" t="s">
        <v>21</v>
      </c>
      <c r="N45" s="19" t="s">
        <v>287</v>
      </c>
    </row>
    <row r="46" customFormat="false" ht="24" hidden="false" customHeight="true" outlineLevel="0" collapsed="false">
      <c r="B46" s="32"/>
      <c r="C46" s="32"/>
      <c r="D46" s="33" t="s">
        <v>288</v>
      </c>
      <c r="E46" s="19" t="s">
        <v>289</v>
      </c>
      <c r="F46" s="41" t="s">
        <v>67</v>
      </c>
      <c r="G46" s="33" t="s">
        <v>88</v>
      </c>
      <c r="H46" s="33" t="n">
        <v>21</v>
      </c>
      <c r="I46" s="35" t="s">
        <v>13</v>
      </c>
      <c r="J46" s="33" t="s">
        <v>103</v>
      </c>
      <c r="K46" s="33" t="s">
        <v>27</v>
      </c>
      <c r="L46" s="19" t="s">
        <v>290</v>
      </c>
      <c r="M46" s="33" t="s">
        <v>284</v>
      </c>
      <c r="N46" s="19" t="s">
        <v>291</v>
      </c>
    </row>
    <row r="47" customFormat="false" ht="24" hidden="false" customHeight="true" outlineLevel="0" collapsed="false">
      <c r="B47" s="32"/>
      <c r="C47" s="32"/>
      <c r="D47" s="33" t="s">
        <v>292</v>
      </c>
      <c r="E47" s="19" t="s">
        <v>293</v>
      </c>
      <c r="F47" s="41" t="s">
        <v>67</v>
      </c>
      <c r="G47" s="33" t="s">
        <v>88</v>
      </c>
      <c r="H47" s="33" t="n">
        <v>13</v>
      </c>
      <c r="I47" s="35" t="s">
        <v>13</v>
      </c>
      <c r="J47" s="33" t="s">
        <v>103</v>
      </c>
      <c r="K47" s="33" t="s">
        <v>31</v>
      </c>
      <c r="L47" s="19" t="s">
        <v>294</v>
      </c>
      <c r="M47" s="33" t="s">
        <v>295</v>
      </c>
      <c r="N47" s="19" t="s">
        <v>296</v>
      </c>
    </row>
    <row r="48" customFormat="false" ht="24" hidden="false" customHeight="true" outlineLevel="0" collapsed="false">
      <c r="B48" s="32"/>
      <c r="C48" s="32"/>
      <c r="D48" s="33" t="s">
        <v>297</v>
      </c>
      <c r="E48" s="19" t="s">
        <v>298</v>
      </c>
      <c r="F48" s="34" t="s">
        <v>68</v>
      </c>
      <c r="G48" s="33" t="s">
        <v>94</v>
      </c>
      <c r="H48" s="33" t="n">
        <v>13</v>
      </c>
      <c r="I48" s="35" t="s">
        <v>13</v>
      </c>
      <c r="J48" s="33" t="s">
        <v>103</v>
      </c>
      <c r="K48" s="33" t="s">
        <v>27</v>
      </c>
      <c r="L48" s="19" t="s">
        <v>299</v>
      </c>
      <c r="M48" s="33" t="s">
        <v>284</v>
      </c>
      <c r="N48" s="19" t="s">
        <v>300</v>
      </c>
    </row>
    <row r="49" customFormat="false" ht="24" hidden="false" customHeight="true" outlineLevel="0" collapsed="false">
      <c r="B49" s="28"/>
      <c r="C49" s="28"/>
      <c r="D49" s="29" t="s">
        <v>301</v>
      </c>
      <c r="E49" s="14" t="s">
        <v>302</v>
      </c>
      <c r="F49" s="42" t="s">
        <v>68</v>
      </c>
      <c r="G49" s="29" t="s">
        <v>109</v>
      </c>
      <c r="H49" s="29" t="n">
        <v>5</v>
      </c>
      <c r="I49" s="31" t="s">
        <v>10</v>
      </c>
      <c r="J49" s="29" t="s">
        <v>89</v>
      </c>
      <c r="K49" s="29" t="s">
        <v>19</v>
      </c>
      <c r="L49" s="14" t="s">
        <v>303</v>
      </c>
      <c r="M49" s="29" t="s">
        <v>297</v>
      </c>
      <c r="N49" s="14" t="s">
        <v>304</v>
      </c>
    </row>
    <row r="50" customFormat="false" ht="24" hidden="false" customHeight="true" outlineLevel="0" collapsed="false">
      <c r="B50" s="32"/>
      <c r="C50" s="32"/>
      <c r="D50" s="33" t="s">
        <v>305</v>
      </c>
      <c r="E50" s="19" t="s">
        <v>306</v>
      </c>
      <c r="F50" s="41" t="s">
        <v>67</v>
      </c>
      <c r="G50" s="33" t="s">
        <v>94</v>
      </c>
      <c r="H50" s="33" t="n">
        <v>5</v>
      </c>
      <c r="I50" s="35" t="s">
        <v>13</v>
      </c>
      <c r="J50" s="33" t="s">
        <v>103</v>
      </c>
      <c r="K50" s="33" t="s">
        <v>27</v>
      </c>
      <c r="L50" s="19" t="s">
        <v>307</v>
      </c>
      <c r="M50" s="33" t="s">
        <v>284</v>
      </c>
      <c r="N50" s="19" t="s">
        <v>308</v>
      </c>
    </row>
    <row r="51" customFormat="false" ht="24" hidden="false" customHeight="true" outlineLevel="0" collapsed="false">
      <c r="B51" s="32"/>
      <c r="C51" s="32"/>
      <c r="D51" s="33" t="s">
        <v>309</v>
      </c>
      <c r="E51" s="19" t="s">
        <v>310</v>
      </c>
      <c r="F51" s="41" t="s">
        <v>67</v>
      </c>
      <c r="G51" s="33" t="s">
        <v>88</v>
      </c>
      <c r="H51" s="33" t="n">
        <v>13</v>
      </c>
      <c r="I51" s="35" t="s">
        <v>13</v>
      </c>
      <c r="J51" s="33" t="s">
        <v>103</v>
      </c>
      <c r="K51" s="33" t="s">
        <v>31</v>
      </c>
      <c r="L51" s="19" t="s">
        <v>311</v>
      </c>
      <c r="M51" s="33" t="s">
        <v>312</v>
      </c>
      <c r="N51" s="19" t="s">
        <v>313</v>
      </c>
    </row>
    <row r="52" customFormat="false" ht="24" hidden="false" customHeight="true" outlineLevel="0" collapsed="false">
      <c r="B52" s="32"/>
      <c r="C52" s="32"/>
      <c r="D52" s="33" t="s">
        <v>314</v>
      </c>
      <c r="E52" s="19" t="s">
        <v>315</v>
      </c>
      <c r="F52" s="41" t="s">
        <v>67</v>
      </c>
      <c r="G52" s="33" t="s">
        <v>88</v>
      </c>
      <c r="H52" s="33" t="n">
        <v>8</v>
      </c>
      <c r="I52" s="35" t="s">
        <v>13</v>
      </c>
      <c r="J52" s="33" t="s">
        <v>103</v>
      </c>
      <c r="K52" s="33" t="s">
        <v>31</v>
      </c>
      <c r="L52" s="19" t="s">
        <v>316</v>
      </c>
      <c r="M52" s="33" t="s">
        <v>292</v>
      </c>
      <c r="N52" s="19" t="s">
        <v>317</v>
      </c>
    </row>
    <row r="53" customFormat="false" ht="24" hidden="false" customHeight="true" outlineLevel="0" collapsed="false">
      <c r="B53" s="32"/>
      <c r="C53" s="32"/>
      <c r="D53" s="33" t="s">
        <v>318</v>
      </c>
      <c r="E53" s="19" t="s">
        <v>319</v>
      </c>
      <c r="F53" s="41" t="s">
        <v>67</v>
      </c>
      <c r="G53" s="33" t="s">
        <v>94</v>
      </c>
      <c r="H53" s="33" t="n">
        <v>5</v>
      </c>
      <c r="I53" s="35" t="s">
        <v>13</v>
      </c>
      <c r="J53" s="33" t="s">
        <v>103</v>
      </c>
      <c r="K53" s="33" t="s">
        <v>31</v>
      </c>
      <c r="L53" s="19" t="s">
        <v>320</v>
      </c>
      <c r="M53" s="33" t="s">
        <v>288</v>
      </c>
      <c r="N53" s="19" t="s">
        <v>321</v>
      </c>
    </row>
    <row r="54" customFormat="false" ht="24" hidden="false" customHeight="true" outlineLevel="0" collapsed="false">
      <c r="B54" s="32"/>
      <c r="C54" s="32"/>
      <c r="D54" s="33" t="s">
        <v>322</v>
      </c>
      <c r="E54" s="19" t="s">
        <v>323</v>
      </c>
      <c r="F54" s="41" t="s">
        <v>67</v>
      </c>
      <c r="G54" s="33" t="s">
        <v>109</v>
      </c>
      <c r="H54" s="33" t="n">
        <v>5</v>
      </c>
      <c r="I54" s="35" t="s">
        <v>13</v>
      </c>
      <c r="J54" s="33" t="s">
        <v>103</v>
      </c>
      <c r="K54" s="33" t="s">
        <v>27</v>
      </c>
      <c r="L54" s="19" t="s">
        <v>324</v>
      </c>
      <c r="M54" s="33" t="s">
        <v>288</v>
      </c>
      <c r="N54" s="19" t="s">
        <v>325</v>
      </c>
    </row>
    <row r="55" customFormat="false" ht="24" hidden="false" customHeight="true" outlineLevel="0" collapsed="false">
      <c r="B55" s="28" t="s">
        <v>326</v>
      </c>
      <c r="C55" s="28" t="s">
        <v>327</v>
      </c>
      <c r="D55" s="29" t="s">
        <v>328</v>
      </c>
      <c r="E55" s="14" t="s">
        <v>329</v>
      </c>
      <c r="F55" s="30" t="s">
        <v>67</v>
      </c>
      <c r="G55" s="29" t="s">
        <v>94</v>
      </c>
      <c r="H55" s="29" t="n">
        <v>13</v>
      </c>
      <c r="I55" s="31" t="s">
        <v>10</v>
      </c>
      <c r="J55" s="29" t="s">
        <v>89</v>
      </c>
      <c r="K55" s="29" t="s">
        <v>19</v>
      </c>
      <c r="L55" s="14" t="s">
        <v>330</v>
      </c>
      <c r="M55" s="29" t="s">
        <v>331</v>
      </c>
      <c r="N55" s="14" t="s">
        <v>332</v>
      </c>
    </row>
    <row r="56" customFormat="false" ht="24" hidden="false" customHeight="true" outlineLevel="0" collapsed="false">
      <c r="B56" s="32"/>
      <c r="C56" s="32"/>
      <c r="D56" s="33" t="s">
        <v>333</v>
      </c>
      <c r="E56" s="19" t="s">
        <v>334</v>
      </c>
      <c r="F56" s="41" t="s">
        <v>67</v>
      </c>
      <c r="G56" s="33" t="s">
        <v>88</v>
      </c>
      <c r="H56" s="33" t="n">
        <v>21</v>
      </c>
      <c r="I56" s="35" t="s">
        <v>13</v>
      </c>
      <c r="J56" s="33" t="s">
        <v>110</v>
      </c>
      <c r="K56" s="33" t="s">
        <v>35</v>
      </c>
      <c r="L56" s="19" t="s">
        <v>335</v>
      </c>
      <c r="M56" s="33" t="s">
        <v>336</v>
      </c>
      <c r="N56" s="19" t="s">
        <v>337</v>
      </c>
    </row>
    <row r="57" customFormat="false" ht="24" hidden="false" customHeight="true" outlineLevel="0" collapsed="false">
      <c r="B57" s="36"/>
      <c r="C57" s="36"/>
      <c r="D57" s="37" t="s">
        <v>338</v>
      </c>
      <c r="E57" s="38" t="s">
        <v>339</v>
      </c>
      <c r="F57" s="39" t="s">
        <v>67</v>
      </c>
      <c r="G57" s="37" t="s">
        <v>94</v>
      </c>
      <c r="H57" s="37" t="n">
        <v>8</v>
      </c>
      <c r="I57" s="40" t="s">
        <v>12</v>
      </c>
      <c r="J57" s="37" t="s">
        <v>103</v>
      </c>
      <c r="K57" s="37" t="s">
        <v>22</v>
      </c>
      <c r="L57" s="38" t="s">
        <v>340</v>
      </c>
      <c r="M57" s="37" t="s">
        <v>328</v>
      </c>
      <c r="N57" s="38" t="s">
        <v>341</v>
      </c>
    </row>
    <row r="58" customFormat="false" ht="24" hidden="false" customHeight="true" outlineLevel="0" collapsed="false">
      <c r="B58" s="32"/>
      <c r="C58" s="32"/>
      <c r="D58" s="33" t="s">
        <v>342</v>
      </c>
      <c r="E58" s="19" t="s">
        <v>343</v>
      </c>
      <c r="F58" s="34" t="s">
        <v>68</v>
      </c>
      <c r="G58" s="33" t="s">
        <v>109</v>
      </c>
      <c r="H58" s="33" t="n">
        <v>5</v>
      </c>
      <c r="I58" s="35" t="s">
        <v>13</v>
      </c>
      <c r="J58" s="33" t="s">
        <v>110</v>
      </c>
      <c r="K58" s="33" t="s">
        <v>47</v>
      </c>
      <c r="L58" s="19" t="s">
        <v>344</v>
      </c>
      <c r="M58" s="33" t="s">
        <v>338</v>
      </c>
      <c r="N58" s="19" t="s">
        <v>345</v>
      </c>
    </row>
    <row r="59" customFormat="false" ht="24" hidden="false" customHeight="true" outlineLevel="0" collapsed="false">
      <c r="B59" s="32"/>
      <c r="C59" s="32"/>
      <c r="D59" s="33" t="s">
        <v>346</v>
      </c>
      <c r="E59" s="19" t="s">
        <v>347</v>
      </c>
      <c r="F59" s="41" t="s">
        <v>67</v>
      </c>
      <c r="G59" s="33" t="s">
        <v>88</v>
      </c>
      <c r="H59" s="33" t="n">
        <v>21</v>
      </c>
      <c r="I59" s="35" t="s">
        <v>13</v>
      </c>
      <c r="J59" s="33" t="s">
        <v>110</v>
      </c>
      <c r="K59" s="33" t="s">
        <v>47</v>
      </c>
      <c r="L59" s="19" t="s">
        <v>348</v>
      </c>
      <c r="M59" s="33" t="s">
        <v>349</v>
      </c>
      <c r="N59" s="19" t="s">
        <v>350</v>
      </c>
    </row>
    <row r="60" customFormat="false" ht="24" hidden="false" customHeight="true" outlineLevel="0" collapsed="false">
      <c r="B60" s="32"/>
      <c r="C60" s="32"/>
      <c r="D60" s="33" t="s">
        <v>351</v>
      </c>
      <c r="E60" s="19" t="s">
        <v>352</v>
      </c>
      <c r="F60" s="41" t="s">
        <v>67</v>
      </c>
      <c r="G60" s="33" t="s">
        <v>94</v>
      </c>
      <c r="H60" s="33" t="n">
        <v>8</v>
      </c>
      <c r="I60" s="35" t="s">
        <v>13</v>
      </c>
      <c r="J60" s="33" t="s">
        <v>110</v>
      </c>
      <c r="K60" s="33" t="s">
        <v>47</v>
      </c>
      <c r="L60" s="19" t="s">
        <v>353</v>
      </c>
      <c r="M60" s="33" t="s">
        <v>328</v>
      </c>
      <c r="N60" s="19" t="s">
        <v>354</v>
      </c>
    </row>
    <row r="61" customFormat="false" ht="24" hidden="false" customHeight="true" outlineLevel="0" collapsed="false">
      <c r="B61" s="36"/>
      <c r="C61" s="36"/>
      <c r="D61" s="37" t="s">
        <v>355</v>
      </c>
      <c r="E61" s="38" t="s">
        <v>356</v>
      </c>
      <c r="F61" s="39" t="s">
        <v>67</v>
      </c>
      <c r="G61" s="37" t="s">
        <v>94</v>
      </c>
      <c r="H61" s="37" t="n">
        <v>5</v>
      </c>
      <c r="I61" s="40" t="s">
        <v>12</v>
      </c>
      <c r="J61" s="37" t="s">
        <v>103</v>
      </c>
      <c r="K61" s="37" t="s">
        <v>22</v>
      </c>
      <c r="L61" s="38" t="s">
        <v>357</v>
      </c>
      <c r="M61" s="37" t="s">
        <v>328</v>
      </c>
      <c r="N61" s="38" t="s">
        <v>358</v>
      </c>
    </row>
    <row r="62" customFormat="false" ht="24" hidden="false" customHeight="true" outlineLevel="0" collapsed="false">
      <c r="B62" s="32"/>
      <c r="C62" s="32"/>
      <c r="D62" s="33" t="s">
        <v>359</v>
      </c>
      <c r="E62" s="19" t="s">
        <v>360</v>
      </c>
      <c r="F62" s="41" t="s">
        <v>67</v>
      </c>
      <c r="G62" s="33" t="s">
        <v>94</v>
      </c>
      <c r="H62" s="33" t="n">
        <v>8</v>
      </c>
      <c r="I62" s="35" t="s">
        <v>13</v>
      </c>
      <c r="J62" s="33" t="s">
        <v>110</v>
      </c>
      <c r="K62" s="33" t="s">
        <v>35</v>
      </c>
      <c r="L62" s="19" t="s">
        <v>361</v>
      </c>
      <c r="M62" s="33" t="s">
        <v>338</v>
      </c>
      <c r="N62" s="19" t="s">
        <v>362</v>
      </c>
    </row>
    <row r="63" customFormat="false" ht="24" hidden="false" customHeight="true" outlineLevel="0" collapsed="false">
      <c r="B63" s="32" t="s">
        <v>363</v>
      </c>
      <c r="C63" s="32" t="s">
        <v>364</v>
      </c>
      <c r="D63" s="33" t="s">
        <v>365</v>
      </c>
      <c r="E63" s="19" t="s">
        <v>366</v>
      </c>
      <c r="F63" s="41" t="s">
        <v>67</v>
      </c>
      <c r="G63" s="33" t="s">
        <v>88</v>
      </c>
      <c r="H63" s="33" t="n">
        <v>13</v>
      </c>
      <c r="I63" s="35" t="s">
        <v>13</v>
      </c>
      <c r="J63" s="33" t="s">
        <v>122</v>
      </c>
      <c r="K63" s="33" t="s">
        <v>55</v>
      </c>
      <c r="L63" s="19" t="s">
        <v>367</v>
      </c>
      <c r="M63" s="33" t="s">
        <v>368</v>
      </c>
      <c r="N63" s="19" t="s">
        <v>369</v>
      </c>
    </row>
    <row r="64" customFormat="false" ht="24" hidden="false" customHeight="true" outlineLevel="0" collapsed="false">
      <c r="B64" s="32"/>
      <c r="C64" s="32"/>
      <c r="D64" s="33" t="s">
        <v>370</v>
      </c>
      <c r="E64" s="19" t="s">
        <v>371</v>
      </c>
      <c r="F64" s="41" t="s">
        <v>67</v>
      </c>
      <c r="G64" s="33" t="s">
        <v>94</v>
      </c>
      <c r="H64" s="33" t="n">
        <v>13</v>
      </c>
      <c r="I64" s="35" t="s">
        <v>13</v>
      </c>
      <c r="J64" s="33" t="s">
        <v>122</v>
      </c>
      <c r="K64" s="33" t="s">
        <v>55</v>
      </c>
      <c r="L64" s="19" t="s">
        <v>372</v>
      </c>
      <c r="M64" s="33" t="s">
        <v>365</v>
      </c>
      <c r="N64" s="19" t="s">
        <v>373</v>
      </c>
    </row>
    <row r="65" customFormat="false" ht="24" hidden="false" customHeight="true" outlineLevel="0" collapsed="false">
      <c r="B65" s="32"/>
      <c r="C65" s="32"/>
      <c r="D65" s="33" t="s">
        <v>374</v>
      </c>
      <c r="E65" s="19" t="s">
        <v>375</v>
      </c>
      <c r="F65" s="34" t="s">
        <v>68</v>
      </c>
      <c r="G65" s="33" t="s">
        <v>94</v>
      </c>
      <c r="H65" s="33" t="n">
        <v>8</v>
      </c>
      <c r="I65" s="35" t="s">
        <v>13</v>
      </c>
      <c r="J65" s="33" t="s">
        <v>122</v>
      </c>
      <c r="K65" s="33" t="s">
        <v>55</v>
      </c>
      <c r="L65" s="19" t="s">
        <v>376</v>
      </c>
      <c r="M65" s="33" t="s">
        <v>365</v>
      </c>
      <c r="N65" s="19" t="s">
        <v>377</v>
      </c>
    </row>
    <row r="66" customFormat="false" ht="24" hidden="false" customHeight="true" outlineLevel="0" collapsed="false">
      <c r="B66" s="32" t="s">
        <v>378</v>
      </c>
      <c r="C66" s="32" t="s">
        <v>379</v>
      </c>
      <c r="D66" s="33" t="s">
        <v>380</v>
      </c>
      <c r="E66" s="19" t="s">
        <v>381</v>
      </c>
      <c r="F66" s="41" t="s">
        <v>67</v>
      </c>
      <c r="G66" s="33" t="s">
        <v>94</v>
      </c>
      <c r="H66" s="33" t="n">
        <v>13</v>
      </c>
      <c r="I66" s="35" t="s">
        <v>13</v>
      </c>
      <c r="J66" s="33" t="s">
        <v>110</v>
      </c>
      <c r="K66" s="33" t="s">
        <v>39</v>
      </c>
      <c r="L66" s="19" t="s">
        <v>382</v>
      </c>
      <c r="M66" s="33" t="s">
        <v>208</v>
      </c>
      <c r="N66" s="19" t="s">
        <v>383</v>
      </c>
    </row>
    <row r="67" customFormat="false" ht="24" hidden="false" customHeight="true" outlineLevel="0" collapsed="false">
      <c r="B67" s="32"/>
      <c r="C67" s="32"/>
      <c r="D67" s="33" t="s">
        <v>384</v>
      </c>
      <c r="E67" s="19" t="s">
        <v>385</v>
      </c>
      <c r="F67" s="41" t="s">
        <v>67</v>
      </c>
      <c r="G67" s="33" t="s">
        <v>88</v>
      </c>
      <c r="H67" s="33" t="n">
        <v>13</v>
      </c>
      <c r="I67" s="35" t="s">
        <v>13</v>
      </c>
      <c r="J67" s="33" t="s">
        <v>110</v>
      </c>
      <c r="K67" s="33" t="s">
        <v>39</v>
      </c>
      <c r="L67" s="19" t="s">
        <v>386</v>
      </c>
      <c r="M67" s="33" t="s">
        <v>387</v>
      </c>
      <c r="N67" s="19" t="s">
        <v>388</v>
      </c>
    </row>
    <row r="68" customFormat="false" ht="24" hidden="false" customHeight="true" outlineLevel="0" collapsed="false">
      <c r="B68" s="32"/>
      <c r="C68" s="32"/>
      <c r="D68" s="33" t="s">
        <v>389</v>
      </c>
      <c r="E68" s="19" t="s">
        <v>390</v>
      </c>
      <c r="F68" s="41" t="s">
        <v>67</v>
      </c>
      <c r="G68" s="33" t="s">
        <v>109</v>
      </c>
      <c r="H68" s="33" t="n">
        <v>8</v>
      </c>
      <c r="I68" s="35" t="s">
        <v>13</v>
      </c>
      <c r="J68" s="33" t="s">
        <v>110</v>
      </c>
      <c r="K68" s="33" t="s">
        <v>39</v>
      </c>
      <c r="L68" s="19" t="s">
        <v>391</v>
      </c>
      <c r="M68" s="33" t="s">
        <v>208</v>
      </c>
      <c r="N68" s="19" t="s">
        <v>392</v>
      </c>
    </row>
    <row r="69" customFormat="false" ht="24" hidden="false" customHeight="true" outlineLevel="0" collapsed="false">
      <c r="B69" s="32"/>
      <c r="C69" s="32"/>
      <c r="D69" s="33" t="s">
        <v>393</v>
      </c>
      <c r="E69" s="19" t="s">
        <v>394</v>
      </c>
      <c r="F69" s="34" t="s">
        <v>68</v>
      </c>
      <c r="G69" s="33" t="s">
        <v>94</v>
      </c>
      <c r="H69" s="33" t="n">
        <v>8</v>
      </c>
      <c r="I69" s="35" t="s">
        <v>13</v>
      </c>
      <c r="J69" s="33" t="s">
        <v>110</v>
      </c>
      <c r="K69" s="33" t="s">
        <v>39</v>
      </c>
      <c r="L69" s="19" t="s">
        <v>395</v>
      </c>
      <c r="M69" s="33" t="s">
        <v>380</v>
      </c>
      <c r="N69" s="19" t="s">
        <v>396</v>
      </c>
    </row>
    <row r="70" customFormat="false" ht="24" hidden="false" customHeight="true" outlineLevel="0" collapsed="false">
      <c r="B70" s="32" t="s">
        <v>397</v>
      </c>
      <c r="C70" s="32" t="s">
        <v>398</v>
      </c>
      <c r="D70" s="33" t="s">
        <v>399</v>
      </c>
      <c r="E70" s="19" t="s">
        <v>400</v>
      </c>
      <c r="F70" s="34" t="s">
        <v>68</v>
      </c>
      <c r="G70" s="33" t="s">
        <v>94</v>
      </c>
      <c r="H70" s="33" t="n">
        <v>8</v>
      </c>
      <c r="I70" s="35" t="s">
        <v>13</v>
      </c>
      <c r="J70" s="33" t="s">
        <v>122</v>
      </c>
      <c r="K70" s="33" t="s">
        <v>59</v>
      </c>
      <c r="L70" s="19" t="s">
        <v>401</v>
      </c>
      <c r="M70" s="33" t="s">
        <v>21</v>
      </c>
      <c r="N70" s="19" t="s">
        <v>402</v>
      </c>
    </row>
    <row r="71" customFormat="false" ht="24" hidden="false" customHeight="true" outlineLevel="0" collapsed="false">
      <c r="B71" s="32"/>
      <c r="C71" s="32"/>
      <c r="D71" s="33" t="s">
        <v>403</v>
      </c>
      <c r="E71" s="19" t="s">
        <v>404</v>
      </c>
      <c r="F71" s="41" t="s">
        <v>67</v>
      </c>
      <c r="G71" s="33" t="s">
        <v>88</v>
      </c>
      <c r="H71" s="33" t="n">
        <v>13</v>
      </c>
      <c r="I71" s="35" t="s">
        <v>13</v>
      </c>
      <c r="J71" s="33" t="s">
        <v>122</v>
      </c>
      <c r="K71" s="33" t="s">
        <v>59</v>
      </c>
      <c r="L71" s="19" t="s">
        <v>405</v>
      </c>
      <c r="M71" s="33" t="s">
        <v>399</v>
      </c>
      <c r="N71" s="19" t="s">
        <v>406</v>
      </c>
    </row>
    <row r="72" customFormat="false" ht="24" hidden="false" customHeight="true" outlineLevel="0" collapsed="false">
      <c r="B72" s="32"/>
      <c r="C72" s="32"/>
      <c r="D72" s="33" t="s">
        <v>407</v>
      </c>
      <c r="E72" s="19" t="s">
        <v>408</v>
      </c>
      <c r="F72" s="41" t="s">
        <v>67</v>
      </c>
      <c r="G72" s="33" t="s">
        <v>88</v>
      </c>
      <c r="H72" s="33" t="n">
        <v>13</v>
      </c>
      <c r="I72" s="35" t="s">
        <v>13</v>
      </c>
      <c r="J72" s="33" t="s">
        <v>122</v>
      </c>
      <c r="K72" s="33" t="s">
        <v>59</v>
      </c>
      <c r="L72" s="19" t="s">
        <v>409</v>
      </c>
      <c r="M72" s="33" t="s">
        <v>403</v>
      </c>
      <c r="N72" s="19" t="s">
        <v>410</v>
      </c>
    </row>
    <row r="73" customFormat="false" ht="24" hidden="false" customHeight="true" outlineLevel="0" collapsed="false">
      <c r="B73" s="32" t="s">
        <v>411</v>
      </c>
      <c r="C73" s="32" t="s">
        <v>412</v>
      </c>
      <c r="D73" s="33" t="s">
        <v>413</v>
      </c>
      <c r="E73" s="19" t="s">
        <v>414</v>
      </c>
      <c r="F73" s="41" t="s">
        <v>67</v>
      </c>
      <c r="G73" s="33" t="s">
        <v>94</v>
      </c>
      <c r="H73" s="33" t="n">
        <v>5</v>
      </c>
      <c r="I73" s="35" t="s">
        <v>13</v>
      </c>
      <c r="J73" s="33" t="s">
        <v>110</v>
      </c>
      <c r="K73" s="33" t="s">
        <v>39</v>
      </c>
      <c r="L73" s="19" t="s">
        <v>415</v>
      </c>
      <c r="M73" s="33" t="s">
        <v>21</v>
      </c>
      <c r="N73" s="19" t="s">
        <v>416</v>
      </c>
    </row>
    <row r="74" customFormat="false" ht="24" hidden="false" customHeight="true" outlineLevel="0" collapsed="false">
      <c r="B74" s="32"/>
      <c r="C74" s="32"/>
      <c r="D74" s="33" t="s">
        <v>417</v>
      </c>
      <c r="E74" s="19" t="s">
        <v>418</v>
      </c>
      <c r="F74" s="41" t="s">
        <v>67</v>
      </c>
      <c r="G74" s="33" t="s">
        <v>94</v>
      </c>
      <c r="H74" s="33" t="n">
        <v>8</v>
      </c>
      <c r="I74" s="35" t="s">
        <v>13</v>
      </c>
      <c r="J74" s="33" t="s">
        <v>110</v>
      </c>
      <c r="K74" s="33" t="s">
        <v>39</v>
      </c>
      <c r="L74" s="19" t="s">
        <v>419</v>
      </c>
      <c r="M74" s="33" t="s">
        <v>413</v>
      </c>
      <c r="N74" s="19" t="s">
        <v>420</v>
      </c>
    </row>
    <row r="75" customFormat="false" ht="24" hidden="false" customHeight="true" outlineLevel="0" collapsed="false">
      <c r="B75" s="28" t="s">
        <v>421</v>
      </c>
      <c r="C75" s="28" t="s">
        <v>422</v>
      </c>
      <c r="D75" s="29" t="s">
        <v>423</v>
      </c>
      <c r="E75" s="14" t="s">
        <v>424</v>
      </c>
      <c r="F75" s="30" t="s">
        <v>67</v>
      </c>
      <c r="G75" s="29" t="s">
        <v>94</v>
      </c>
      <c r="H75" s="29" t="n">
        <v>8</v>
      </c>
      <c r="I75" s="31" t="s">
        <v>10</v>
      </c>
      <c r="J75" s="29" t="s">
        <v>89</v>
      </c>
      <c r="K75" s="29" t="s">
        <v>19</v>
      </c>
      <c r="L75" s="14" t="s">
        <v>425</v>
      </c>
      <c r="M75" s="29" t="s">
        <v>21</v>
      </c>
      <c r="N75" s="14" t="s">
        <v>426</v>
      </c>
    </row>
    <row r="76" customFormat="false" ht="24" hidden="false" customHeight="true" outlineLevel="0" collapsed="false">
      <c r="B76" s="32"/>
      <c r="C76" s="32"/>
      <c r="D76" s="33" t="s">
        <v>427</v>
      </c>
      <c r="E76" s="19" t="s">
        <v>428</v>
      </c>
      <c r="F76" s="34" t="s">
        <v>68</v>
      </c>
      <c r="G76" s="33" t="s">
        <v>94</v>
      </c>
      <c r="H76" s="33" t="n">
        <v>13</v>
      </c>
      <c r="I76" s="35" t="s">
        <v>13</v>
      </c>
      <c r="J76" s="33" t="s">
        <v>122</v>
      </c>
      <c r="K76" s="33" t="s">
        <v>55</v>
      </c>
      <c r="L76" s="19" t="s">
        <v>429</v>
      </c>
      <c r="M76" s="33" t="s">
        <v>423</v>
      </c>
      <c r="N76" s="19" t="s">
        <v>430</v>
      </c>
    </row>
    <row r="77" customFormat="false" ht="24" hidden="false" customHeight="true" outlineLevel="0" collapsed="false">
      <c r="B77" s="32"/>
      <c r="C77" s="32"/>
      <c r="D77" s="33" t="s">
        <v>431</v>
      </c>
      <c r="E77" s="19" t="s">
        <v>432</v>
      </c>
      <c r="F77" s="34" t="s">
        <v>68</v>
      </c>
      <c r="G77" s="33" t="s">
        <v>109</v>
      </c>
      <c r="H77" s="33" t="n">
        <v>8</v>
      </c>
      <c r="I77" s="35" t="s">
        <v>13</v>
      </c>
      <c r="J77" s="33" t="s">
        <v>122</v>
      </c>
      <c r="K77" s="33" t="s">
        <v>55</v>
      </c>
      <c r="L77" s="19" t="s">
        <v>433</v>
      </c>
      <c r="M77" s="33" t="s">
        <v>423</v>
      </c>
      <c r="N77" s="19" t="s">
        <v>434</v>
      </c>
    </row>
    <row r="78" customFormat="false" ht="24" hidden="false" customHeight="true" outlineLevel="0" collapsed="false">
      <c r="B78" s="32" t="s">
        <v>435</v>
      </c>
      <c r="C78" s="32" t="s">
        <v>436</v>
      </c>
      <c r="D78" s="33" t="s">
        <v>437</v>
      </c>
      <c r="E78" s="19" t="s">
        <v>438</v>
      </c>
      <c r="F78" s="41" t="s">
        <v>67</v>
      </c>
      <c r="G78" s="33" t="s">
        <v>94</v>
      </c>
      <c r="H78" s="33" t="n">
        <v>8</v>
      </c>
      <c r="I78" s="35" t="s">
        <v>13</v>
      </c>
      <c r="J78" s="33" t="s">
        <v>103</v>
      </c>
      <c r="K78" s="33" t="s">
        <v>27</v>
      </c>
      <c r="L78" s="19" t="s">
        <v>439</v>
      </c>
      <c r="M78" s="33" t="s">
        <v>338</v>
      </c>
      <c r="N78" s="19" t="s">
        <v>440</v>
      </c>
    </row>
    <row r="79" customFormat="false" ht="24" hidden="false" customHeight="true" outlineLevel="0" collapsed="false">
      <c r="B79" s="32"/>
      <c r="C79" s="32"/>
      <c r="D79" s="33" t="s">
        <v>441</v>
      </c>
      <c r="E79" s="19" t="s">
        <v>442</v>
      </c>
      <c r="F79" s="41" t="s">
        <v>67</v>
      </c>
      <c r="G79" s="33" t="s">
        <v>88</v>
      </c>
      <c r="H79" s="33" t="n">
        <v>13</v>
      </c>
      <c r="I79" s="35" t="s">
        <v>13</v>
      </c>
      <c r="J79" s="33" t="s">
        <v>122</v>
      </c>
      <c r="K79" s="33" t="s">
        <v>51</v>
      </c>
      <c r="L79" s="19" t="s">
        <v>443</v>
      </c>
      <c r="M79" s="33" t="s">
        <v>444</v>
      </c>
      <c r="N79" s="19" t="s">
        <v>445</v>
      </c>
    </row>
    <row r="80" customFormat="false" ht="24" hidden="false" customHeight="true" outlineLevel="0" collapsed="false">
      <c r="B80" s="32"/>
      <c r="C80" s="32"/>
      <c r="D80" s="33" t="s">
        <v>446</v>
      </c>
      <c r="E80" s="19" t="s">
        <v>447</v>
      </c>
      <c r="F80" s="41" t="s">
        <v>67</v>
      </c>
      <c r="G80" s="33" t="s">
        <v>94</v>
      </c>
      <c r="H80" s="33" t="n">
        <v>8</v>
      </c>
      <c r="I80" s="35" t="s">
        <v>13</v>
      </c>
      <c r="J80" s="33" t="s">
        <v>122</v>
      </c>
      <c r="K80" s="33" t="s">
        <v>51</v>
      </c>
      <c r="L80" s="19" t="s">
        <v>448</v>
      </c>
      <c r="M80" s="33" t="s">
        <v>449</v>
      </c>
      <c r="N80" s="19" t="s">
        <v>450</v>
      </c>
    </row>
    <row r="81" customFormat="false" ht="24" hidden="false" customHeight="true" outlineLevel="0" collapsed="false">
      <c r="B81" s="32"/>
      <c r="C81" s="32"/>
      <c r="D81" s="33" t="s">
        <v>451</v>
      </c>
      <c r="E81" s="19" t="s">
        <v>452</v>
      </c>
      <c r="F81" s="35" t="s">
        <v>69</v>
      </c>
      <c r="G81" s="33" t="s">
        <v>88</v>
      </c>
      <c r="H81" s="33" t="n">
        <v>21</v>
      </c>
      <c r="I81" s="35" t="s">
        <v>13</v>
      </c>
      <c r="J81" s="33" t="s">
        <v>184</v>
      </c>
      <c r="K81" s="33" t="s">
        <v>63</v>
      </c>
      <c r="L81" s="19" t="s">
        <v>453</v>
      </c>
      <c r="M81" s="33" t="s">
        <v>454</v>
      </c>
      <c r="N81" s="19" t="s">
        <v>455</v>
      </c>
    </row>
    <row r="82" customFormat="false" ht="24" hidden="false" customHeight="true" outlineLevel="0" collapsed="false">
      <c r="B82" s="32"/>
      <c r="C82" s="32"/>
      <c r="D82" s="33" t="s">
        <v>456</v>
      </c>
      <c r="E82" s="19" t="s">
        <v>457</v>
      </c>
      <c r="F82" s="41" t="s">
        <v>67</v>
      </c>
      <c r="G82" s="33" t="s">
        <v>94</v>
      </c>
      <c r="H82" s="33" t="n">
        <v>8</v>
      </c>
      <c r="I82" s="35" t="s">
        <v>13</v>
      </c>
      <c r="J82" s="33" t="s">
        <v>122</v>
      </c>
      <c r="K82" s="33" t="s">
        <v>51</v>
      </c>
      <c r="L82" s="19" t="s">
        <v>458</v>
      </c>
      <c r="M82" s="33" t="s">
        <v>459</v>
      </c>
      <c r="N82" s="19" t="s">
        <v>460</v>
      </c>
    </row>
    <row r="83" customFormat="false" ht="24" hidden="false" customHeight="true" outlineLevel="0" collapsed="false">
      <c r="B83" s="32"/>
      <c r="C83" s="32"/>
      <c r="D83" s="33" t="s">
        <v>461</v>
      </c>
      <c r="E83" s="19" t="s">
        <v>462</v>
      </c>
      <c r="F83" s="34" t="s">
        <v>68</v>
      </c>
      <c r="G83" s="33" t="s">
        <v>94</v>
      </c>
      <c r="H83" s="33" t="n">
        <v>5</v>
      </c>
      <c r="I83" s="35" t="s">
        <v>13</v>
      </c>
      <c r="J83" s="33" t="s">
        <v>184</v>
      </c>
      <c r="K83" s="33" t="s">
        <v>63</v>
      </c>
      <c r="L83" s="19" t="s">
        <v>463</v>
      </c>
      <c r="M83" s="33" t="s">
        <v>331</v>
      </c>
      <c r="N83" s="19" t="s">
        <v>464</v>
      </c>
    </row>
    <row r="84" customFormat="false" ht="24" hidden="false" customHeight="true" outlineLevel="0" collapsed="false">
      <c r="B84" s="32"/>
      <c r="C84" s="32"/>
      <c r="D84" s="33" t="s">
        <v>465</v>
      </c>
      <c r="E84" s="19" t="s">
        <v>466</v>
      </c>
      <c r="F84" s="41" t="s">
        <v>67</v>
      </c>
      <c r="G84" s="33" t="s">
        <v>94</v>
      </c>
      <c r="H84" s="33" t="n">
        <v>8</v>
      </c>
      <c r="I84" s="35" t="s">
        <v>13</v>
      </c>
      <c r="J84" s="33" t="s">
        <v>122</v>
      </c>
      <c r="K84" s="33" t="s">
        <v>51</v>
      </c>
      <c r="L84" s="19" t="s">
        <v>467</v>
      </c>
      <c r="M84" s="33" t="s">
        <v>292</v>
      </c>
      <c r="N84" s="19" t="s">
        <v>468</v>
      </c>
    </row>
    <row r="85" customFormat="false" ht="24" hidden="false" customHeight="true" outlineLevel="0" collapsed="false">
      <c r="B85" s="32"/>
      <c r="C85" s="32"/>
      <c r="D85" s="33" t="s">
        <v>469</v>
      </c>
      <c r="E85" s="19" t="s">
        <v>470</v>
      </c>
      <c r="F85" s="41" t="s">
        <v>67</v>
      </c>
      <c r="G85" s="33" t="s">
        <v>94</v>
      </c>
      <c r="H85" s="33" t="n">
        <v>5</v>
      </c>
      <c r="I85" s="35" t="s">
        <v>13</v>
      </c>
      <c r="J85" s="33" t="s">
        <v>122</v>
      </c>
      <c r="K85" s="33" t="s">
        <v>51</v>
      </c>
      <c r="L85" s="19" t="s">
        <v>471</v>
      </c>
      <c r="M85" s="33" t="s">
        <v>244</v>
      </c>
      <c r="N85" s="19" t="s">
        <v>472</v>
      </c>
    </row>
    <row r="86" customFormat="false" ht="24" hidden="false" customHeight="true" outlineLevel="0" collapsed="false">
      <c r="B86" s="28"/>
      <c r="C86" s="28"/>
      <c r="D86" s="29" t="s">
        <v>473</v>
      </c>
      <c r="E86" s="14" t="s">
        <v>474</v>
      </c>
      <c r="F86" s="30" t="s">
        <v>67</v>
      </c>
      <c r="G86" s="29" t="s">
        <v>94</v>
      </c>
      <c r="H86" s="29" t="n">
        <v>8</v>
      </c>
      <c r="I86" s="31" t="s">
        <v>10</v>
      </c>
      <c r="J86" s="29" t="s">
        <v>89</v>
      </c>
      <c r="K86" s="29" t="s">
        <v>19</v>
      </c>
      <c r="L86" s="14" t="s">
        <v>475</v>
      </c>
      <c r="M86" s="29" t="s">
        <v>476</v>
      </c>
      <c r="N86" s="14" t="s">
        <v>477</v>
      </c>
    </row>
    <row r="87" customFormat="false" ht="24" hidden="false" customHeight="true" outlineLevel="0" collapsed="false">
      <c r="B87" s="28" t="s">
        <v>478</v>
      </c>
      <c r="C87" s="28" t="s">
        <v>479</v>
      </c>
      <c r="D87" s="29" t="s">
        <v>480</v>
      </c>
      <c r="E87" s="14" t="s">
        <v>481</v>
      </c>
      <c r="F87" s="30" t="s">
        <v>67</v>
      </c>
      <c r="G87" s="29" t="s">
        <v>88</v>
      </c>
      <c r="H87" s="29" t="n">
        <v>13</v>
      </c>
      <c r="I87" s="31" t="s">
        <v>10</v>
      </c>
      <c r="J87" s="29" t="s">
        <v>89</v>
      </c>
      <c r="K87" s="29" t="s">
        <v>19</v>
      </c>
      <c r="L87" s="14" t="s">
        <v>482</v>
      </c>
      <c r="M87" s="29" t="s">
        <v>21</v>
      </c>
      <c r="N87" s="14" t="s">
        <v>483</v>
      </c>
    </row>
    <row r="88" customFormat="false" ht="24" hidden="false" customHeight="true" outlineLevel="0" collapsed="false">
      <c r="B88" s="36"/>
      <c r="C88" s="36"/>
      <c r="D88" s="37" t="s">
        <v>484</v>
      </c>
      <c r="E88" s="38" t="s">
        <v>485</v>
      </c>
      <c r="F88" s="39" t="s">
        <v>67</v>
      </c>
      <c r="G88" s="37" t="s">
        <v>94</v>
      </c>
      <c r="H88" s="37" t="n">
        <v>8</v>
      </c>
      <c r="I88" s="40" t="s">
        <v>12</v>
      </c>
      <c r="J88" s="37" t="s">
        <v>103</v>
      </c>
      <c r="K88" s="37" t="s">
        <v>22</v>
      </c>
      <c r="L88" s="38" t="s">
        <v>486</v>
      </c>
      <c r="M88" s="37" t="s">
        <v>480</v>
      </c>
      <c r="N88" s="38" t="s">
        <v>487</v>
      </c>
    </row>
    <row r="89" customFormat="false" ht="24" hidden="false" customHeight="true" outlineLevel="0" collapsed="false">
      <c r="B89" s="28"/>
      <c r="C89" s="28"/>
      <c r="D89" s="29" t="s">
        <v>206</v>
      </c>
      <c r="E89" s="14" t="s">
        <v>488</v>
      </c>
      <c r="F89" s="30" t="s">
        <v>67</v>
      </c>
      <c r="G89" s="29" t="s">
        <v>109</v>
      </c>
      <c r="H89" s="29" t="n">
        <v>8</v>
      </c>
      <c r="I89" s="31" t="s">
        <v>10</v>
      </c>
      <c r="J89" s="29" t="s">
        <v>89</v>
      </c>
      <c r="K89" s="29" t="s">
        <v>19</v>
      </c>
      <c r="L89" s="14" t="s">
        <v>489</v>
      </c>
      <c r="M89" s="29" t="s">
        <v>21</v>
      </c>
      <c r="N89" s="14" t="s">
        <v>490</v>
      </c>
    </row>
    <row r="90" customFormat="false" ht="24" hidden="false" customHeight="true" outlineLevel="0" collapsed="false">
      <c r="B90" s="28"/>
      <c r="C90" s="28"/>
      <c r="D90" s="29" t="s">
        <v>491</v>
      </c>
      <c r="E90" s="14" t="s">
        <v>492</v>
      </c>
      <c r="F90" s="30" t="s">
        <v>67</v>
      </c>
      <c r="G90" s="29" t="s">
        <v>88</v>
      </c>
      <c r="H90" s="29" t="n">
        <v>21</v>
      </c>
      <c r="I90" s="31" t="s">
        <v>10</v>
      </c>
      <c r="J90" s="29" t="s">
        <v>89</v>
      </c>
      <c r="K90" s="29" t="s">
        <v>19</v>
      </c>
      <c r="L90" s="14" t="s">
        <v>493</v>
      </c>
      <c r="M90" s="29" t="s">
        <v>480</v>
      </c>
      <c r="N90" s="14" t="s">
        <v>494</v>
      </c>
    </row>
    <row r="91" customFormat="false" ht="24" hidden="false" customHeight="true" outlineLevel="0" collapsed="false">
      <c r="B91" s="32"/>
      <c r="C91" s="32"/>
      <c r="D91" s="33" t="s">
        <v>495</v>
      </c>
      <c r="E91" s="19" t="s">
        <v>496</v>
      </c>
      <c r="F91" s="34" t="s">
        <v>68</v>
      </c>
      <c r="G91" s="33" t="s">
        <v>94</v>
      </c>
      <c r="H91" s="33" t="n">
        <v>8</v>
      </c>
      <c r="I91" s="35" t="s">
        <v>13</v>
      </c>
      <c r="J91" s="33" t="s">
        <v>110</v>
      </c>
      <c r="K91" s="33" t="s">
        <v>43</v>
      </c>
      <c r="L91" s="19" t="s">
        <v>497</v>
      </c>
      <c r="M91" s="33" t="s">
        <v>480</v>
      </c>
      <c r="N91" s="19" t="s">
        <v>498</v>
      </c>
    </row>
    <row r="92" customFormat="false" ht="24" hidden="false" customHeight="true" outlineLevel="0" collapsed="false">
      <c r="B92" s="32"/>
      <c r="C92" s="32"/>
      <c r="D92" s="33" t="s">
        <v>499</v>
      </c>
      <c r="E92" s="19" t="s">
        <v>500</v>
      </c>
      <c r="F92" s="34" t="s">
        <v>68</v>
      </c>
      <c r="G92" s="33" t="s">
        <v>109</v>
      </c>
      <c r="H92" s="33" t="n">
        <v>5</v>
      </c>
      <c r="I92" s="35" t="s">
        <v>13</v>
      </c>
      <c r="J92" s="33" t="s">
        <v>110</v>
      </c>
      <c r="K92" s="33" t="s">
        <v>43</v>
      </c>
      <c r="L92" s="19" t="s">
        <v>501</v>
      </c>
      <c r="M92" s="33" t="s">
        <v>21</v>
      </c>
      <c r="N92" s="19" t="s">
        <v>502</v>
      </c>
    </row>
    <row r="93" customFormat="false" ht="24" hidden="false" customHeight="true" outlineLevel="0" collapsed="false">
      <c r="B93" s="32" t="s">
        <v>503</v>
      </c>
      <c r="C93" s="32" t="s">
        <v>504</v>
      </c>
      <c r="D93" s="33" t="s">
        <v>505</v>
      </c>
      <c r="E93" s="19" t="s">
        <v>506</v>
      </c>
      <c r="F93" s="41" t="s">
        <v>67</v>
      </c>
      <c r="G93" s="33" t="s">
        <v>88</v>
      </c>
      <c r="H93" s="33" t="n">
        <v>13</v>
      </c>
      <c r="I93" s="35" t="s">
        <v>13</v>
      </c>
      <c r="J93" s="33" t="s">
        <v>110</v>
      </c>
      <c r="K93" s="33" t="s">
        <v>39</v>
      </c>
      <c r="L93" s="19" t="s">
        <v>507</v>
      </c>
      <c r="M93" s="33" t="s">
        <v>86</v>
      </c>
      <c r="N93" s="19" t="s">
        <v>508</v>
      </c>
    </row>
    <row r="94" customFormat="false" ht="24" hidden="false" customHeight="true" outlineLevel="0" collapsed="false">
      <c r="B94" s="32"/>
      <c r="C94" s="32"/>
      <c r="D94" s="33" t="s">
        <v>509</v>
      </c>
      <c r="E94" s="19" t="s">
        <v>510</v>
      </c>
      <c r="F94" s="41" t="s">
        <v>67</v>
      </c>
      <c r="G94" s="33" t="s">
        <v>94</v>
      </c>
      <c r="H94" s="33" t="n">
        <v>8</v>
      </c>
      <c r="I94" s="35" t="s">
        <v>13</v>
      </c>
      <c r="J94" s="33" t="s">
        <v>103</v>
      </c>
      <c r="K94" s="33" t="s">
        <v>27</v>
      </c>
      <c r="L94" s="19" t="s">
        <v>511</v>
      </c>
      <c r="M94" s="33" t="s">
        <v>86</v>
      </c>
      <c r="N94" s="19" t="s">
        <v>512</v>
      </c>
    </row>
    <row r="95" customFormat="false" ht="24" hidden="false" customHeight="true" outlineLevel="0" collapsed="false">
      <c r="B95" s="32"/>
      <c r="C95" s="32"/>
      <c r="D95" s="33" t="s">
        <v>513</v>
      </c>
      <c r="E95" s="19" t="s">
        <v>514</v>
      </c>
      <c r="F95" s="41" t="s">
        <v>67</v>
      </c>
      <c r="G95" s="33" t="s">
        <v>88</v>
      </c>
      <c r="H95" s="33" t="n">
        <v>13</v>
      </c>
      <c r="I95" s="35" t="s">
        <v>13</v>
      </c>
      <c r="J95" s="33" t="s">
        <v>122</v>
      </c>
      <c r="K95" s="33" t="s">
        <v>55</v>
      </c>
      <c r="L95" s="19" t="s">
        <v>515</v>
      </c>
      <c r="M95" s="33" t="s">
        <v>505</v>
      </c>
      <c r="N95" s="19" t="s">
        <v>516</v>
      </c>
    </row>
    <row r="96" customFormat="false" ht="24" hidden="false" customHeight="true" outlineLevel="0" collapsed="false">
      <c r="B96" s="32"/>
      <c r="C96" s="32"/>
      <c r="D96" s="33" t="s">
        <v>517</v>
      </c>
      <c r="E96" s="19" t="s">
        <v>518</v>
      </c>
      <c r="F96" s="41" t="s">
        <v>67</v>
      </c>
      <c r="G96" s="33" t="s">
        <v>94</v>
      </c>
      <c r="H96" s="33" t="n">
        <v>8</v>
      </c>
      <c r="I96" s="35" t="s">
        <v>13</v>
      </c>
      <c r="J96" s="33" t="s">
        <v>110</v>
      </c>
      <c r="K96" s="33" t="s">
        <v>43</v>
      </c>
      <c r="L96" s="19" t="s">
        <v>519</v>
      </c>
      <c r="M96" s="33" t="s">
        <v>86</v>
      </c>
      <c r="N96" s="19" t="s">
        <v>520</v>
      </c>
    </row>
    <row r="97" customFormat="false" ht="24" hidden="false" customHeight="true" outlineLevel="0" collapsed="false">
      <c r="B97" s="32"/>
      <c r="C97" s="32"/>
      <c r="D97" s="33" t="s">
        <v>521</v>
      </c>
      <c r="E97" s="19" t="s">
        <v>522</v>
      </c>
      <c r="F97" s="34" t="s">
        <v>68</v>
      </c>
      <c r="G97" s="33" t="s">
        <v>94</v>
      </c>
      <c r="H97" s="33" t="n">
        <v>13</v>
      </c>
      <c r="I97" s="35" t="s">
        <v>13</v>
      </c>
      <c r="J97" s="33" t="s">
        <v>122</v>
      </c>
      <c r="K97" s="33" t="s">
        <v>51</v>
      </c>
      <c r="L97" s="19" t="s">
        <v>523</v>
      </c>
      <c r="M97" s="33" t="s">
        <v>505</v>
      </c>
      <c r="N97" s="19" t="s">
        <v>524</v>
      </c>
    </row>
    <row r="98" customFormat="false" ht="24" hidden="false" customHeight="true" outlineLevel="0" collapsed="false">
      <c r="B98" s="32" t="s">
        <v>525</v>
      </c>
      <c r="C98" s="32" t="s">
        <v>526</v>
      </c>
      <c r="D98" s="33" t="s">
        <v>527</v>
      </c>
      <c r="E98" s="19" t="s">
        <v>528</v>
      </c>
      <c r="F98" s="34" t="s">
        <v>68</v>
      </c>
      <c r="G98" s="33" t="s">
        <v>94</v>
      </c>
      <c r="H98" s="33" t="n">
        <v>13</v>
      </c>
      <c r="I98" s="35" t="s">
        <v>13</v>
      </c>
      <c r="J98" s="33" t="s">
        <v>122</v>
      </c>
      <c r="K98" s="33" t="s">
        <v>51</v>
      </c>
      <c r="L98" s="19" t="s">
        <v>529</v>
      </c>
      <c r="M98" s="33" t="s">
        <v>86</v>
      </c>
      <c r="N98" s="19" t="s">
        <v>530</v>
      </c>
    </row>
    <row r="99" customFormat="false" ht="24" hidden="false" customHeight="true" outlineLevel="0" collapsed="false">
      <c r="B99" s="32"/>
      <c r="C99" s="32"/>
      <c r="D99" s="33" t="s">
        <v>531</v>
      </c>
      <c r="E99" s="19" t="s">
        <v>532</v>
      </c>
      <c r="F99" s="34" t="s">
        <v>68</v>
      </c>
      <c r="G99" s="33" t="s">
        <v>109</v>
      </c>
      <c r="H99" s="33" t="n">
        <v>8</v>
      </c>
      <c r="I99" s="35" t="s">
        <v>13</v>
      </c>
      <c r="J99" s="33" t="s">
        <v>122</v>
      </c>
      <c r="K99" s="33" t="s">
        <v>51</v>
      </c>
      <c r="L99" s="19" t="s">
        <v>533</v>
      </c>
      <c r="M99" s="33" t="s">
        <v>534</v>
      </c>
      <c r="N99" s="19" t="s">
        <v>535</v>
      </c>
    </row>
    <row r="100" customFormat="false" ht="24" hidden="false" customHeight="true" outlineLevel="0" collapsed="false">
      <c r="B100" s="32"/>
      <c r="C100" s="32"/>
      <c r="D100" s="33" t="s">
        <v>536</v>
      </c>
      <c r="E100" s="19" t="s">
        <v>537</v>
      </c>
      <c r="F100" s="34" t="s">
        <v>68</v>
      </c>
      <c r="G100" s="33" t="s">
        <v>109</v>
      </c>
      <c r="H100" s="33" t="n">
        <v>8</v>
      </c>
      <c r="I100" s="35" t="s">
        <v>13</v>
      </c>
      <c r="J100" s="33" t="s">
        <v>122</v>
      </c>
      <c r="K100" s="33" t="s">
        <v>51</v>
      </c>
      <c r="L100" s="19" t="s">
        <v>538</v>
      </c>
      <c r="M100" s="33" t="s">
        <v>539</v>
      </c>
      <c r="N100" s="19" t="s">
        <v>540</v>
      </c>
    </row>
    <row r="101" customFormat="false" ht="24" hidden="false" customHeight="true" outlineLevel="0" collapsed="false">
      <c r="B101" s="32"/>
      <c r="C101" s="32"/>
      <c r="D101" s="33" t="s">
        <v>541</v>
      </c>
      <c r="E101" s="19" t="s">
        <v>542</v>
      </c>
      <c r="F101" s="34" t="s">
        <v>68</v>
      </c>
      <c r="G101" s="33" t="s">
        <v>109</v>
      </c>
      <c r="H101" s="33" t="n">
        <v>5</v>
      </c>
      <c r="I101" s="35" t="s">
        <v>13</v>
      </c>
      <c r="J101" s="33" t="s">
        <v>122</v>
      </c>
      <c r="K101" s="33" t="s">
        <v>51</v>
      </c>
      <c r="L101" s="19" t="s">
        <v>543</v>
      </c>
      <c r="M101" s="33" t="s">
        <v>544</v>
      </c>
      <c r="N101" s="19" t="s">
        <v>545</v>
      </c>
    </row>
    <row r="102" customFormat="false" ht="24" hidden="false" customHeight="true" outlineLevel="0" collapsed="false">
      <c r="B102" s="32"/>
      <c r="C102" s="32"/>
      <c r="D102" s="33" t="s">
        <v>546</v>
      </c>
      <c r="E102" s="19" t="s">
        <v>547</v>
      </c>
      <c r="F102" s="34" t="s">
        <v>68</v>
      </c>
      <c r="G102" s="33" t="s">
        <v>94</v>
      </c>
      <c r="H102" s="33" t="n">
        <v>13</v>
      </c>
      <c r="I102" s="35" t="s">
        <v>13</v>
      </c>
      <c r="J102" s="33" t="s">
        <v>122</v>
      </c>
      <c r="K102" s="33" t="s">
        <v>59</v>
      </c>
      <c r="L102" s="19" t="s">
        <v>548</v>
      </c>
      <c r="M102" s="33" t="s">
        <v>549</v>
      </c>
      <c r="N102" s="19" t="s">
        <v>550</v>
      </c>
    </row>
    <row r="103" customFormat="false" ht="24" hidden="false" customHeight="true" outlineLevel="0" collapsed="false">
      <c r="B103" s="32"/>
      <c r="C103" s="32"/>
      <c r="D103" s="33" t="s">
        <v>551</v>
      </c>
      <c r="E103" s="19" t="s">
        <v>552</v>
      </c>
      <c r="F103" s="35" t="s">
        <v>69</v>
      </c>
      <c r="G103" s="33" t="s">
        <v>88</v>
      </c>
      <c r="H103" s="33" t="n">
        <v>21</v>
      </c>
      <c r="I103" s="35" t="s">
        <v>13</v>
      </c>
      <c r="J103" s="33" t="s">
        <v>184</v>
      </c>
      <c r="K103" s="33" t="s">
        <v>63</v>
      </c>
      <c r="L103" s="19" t="s">
        <v>553</v>
      </c>
      <c r="M103" s="33" t="s">
        <v>554</v>
      </c>
      <c r="N103" s="19" t="s">
        <v>555</v>
      </c>
    </row>
    <row r="104" customFormat="false" ht="24" hidden="false" customHeight="true" outlineLevel="0" collapsed="false">
      <c r="B104" s="32" t="s">
        <v>556</v>
      </c>
      <c r="C104" s="32" t="s">
        <v>557</v>
      </c>
      <c r="D104" s="33" t="s">
        <v>558</v>
      </c>
      <c r="E104" s="19" t="s">
        <v>559</v>
      </c>
      <c r="F104" s="41" t="s">
        <v>67</v>
      </c>
      <c r="G104" s="33" t="s">
        <v>94</v>
      </c>
      <c r="H104" s="33" t="n">
        <v>8</v>
      </c>
      <c r="I104" s="35" t="s">
        <v>13</v>
      </c>
      <c r="J104" s="33" t="s">
        <v>103</v>
      </c>
      <c r="K104" s="33" t="s">
        <v>31</v>
      </c>
      <c r="L104" s="19" t="s">
        <v>560</v>
      </c>
      <c r="M104" s="33" t="s">
        <v>480</v>
      </c>
      <c r="N104" s="19" t="s">
        <v>561</v>
      </c>
    </row>
    <row r="105" customFormat="false" ht="24" hidden="false" customHeight="true" outlineLevel="0" collapsed="false">
      <c r="B105" s="32"/>
      <c r="C105" s="32"/>
      <c r="D105" s="33" t="s">
        <v>562</v>
      </c>
      <c r="E105" s="19" t="s">
        <v>563</v>
      </c>
      <c r="F105" s="41" t="s">
        <v>67</v>
      </c>
      <c r="G105" s="33" t="s">
        <v>109</v>
      </c>
      <c r="H105" s="33" t="n">
        <v>5</v>
      </c>
      <c r="I105" s="35" t="s">
        <v>13</v>
      </c>
      <c r="J105" s="33" t="s">
        <v>103</v>
      </c>
      <c r="K105" s="33" t="s">
        <v>31</v>
      </c>
      <c r="L105" s="19" t="s">
        <v>564</v>
      </c>
      <c r="M105" s="33" t="s">
        <v>115</v>
      </c>
      <c r="N105" s="19" t="s">
        <v>565</v>
      </c>
    </row>
    <row r="106" customFormat="false" ht="24" hidden="false" customHeight="true" outlineLevel="0" collapsed="false">
      <c r="B106" s="32"/>
      <c r="C106" s="32"/>
      <c r="D106" s="33" t="s">
        <v>566</v>
      </c>
      <c r="E106" s="19" t="s">
        <v>567</v>
      </c>
      <c r="F106" s="41" t="s">
        <v>67</v>
      </c>
      <c r="G106" s="33" t="s">
        <v>94</v>
      </c>
      <c r="H106" s="33" t="n">
        <v>8</v>
      </c>
      <c r="I106" s="35" t="s">
        <v>13</v>
      </c>
      <c r="J106" s="33" t="s">
        <v>103</v>
      </c>
      <c r="K106" s="33" t="s">
        <v>31</v>
      </c>
      <c r="L106" s="19" t="s">
        <v>568</v>
      </c>
      <c r="M106" s="33" t="s">
        <v>505</v>
      </c>
      <c r="N106" s="19" t="s">
        <v>569</v>
      </c>
    </row>
    <row r="107" customFormat="false" ht="24" hidden="false" customHeight="true" outlineLevel="0" collapsed="false">
      <c r="B107" s="32"/>
      <c r="C107" s="32"/>
      <c r="D107" s="33" t="s">
        <v>570</v>
      </c>
      <c r="E107" s="19" t="s">
        <v>571</v>
      </c>
      <c r="F107" s="41" t="s">
        <v>67</v>
      </c>
      <c r="G107" s="33" t="s">
        <v>94</v>
      </c>
      <c r="H107" s="33" t="n">
        <v>8</v>
      </c>
      <c r="I107" s="35" t="s">
        <v>13</v>
      </c>
      <c r="J107" s="33" t="s">
        <v>103</v>
      </c>
      <c r="K107" s="33" t="s">
        <v>31</v>
      </c>
      <c r="L107" s="19" t="s">
        <v>572</v>
      </c>
      <c r="M107" s="33" t="s">
        <v>169</v>
      </c>
      <c r="N107" s="19" t="s">
        <v>573</v>
      </c>
    </row>
    <row r="108" customFormat="false" ht="24" hidden="false" customHeight="true" outlineLevel="0" collapsed="false">
      <c r="B108" s="32"/>
      <c r="C108" s="32"/>
      <c r="D108" s="33" t="s">
        <v>574</v>
      </c>
      <c r="E108" s="19" t="s">
        <v>575</v>
      </c>
      <c r="F108" s="35" t="s">
        <v>69</v>
      </c>
      <c r="G108" s="33" t="s">
        <v>88</v>
      </c>
      <c r="H108" s="33" t="n">
        <v>13</v>
      </c>
      <c r="I108" s="35" t="s">
        <v>13</v>
      </c>
      <c r="J108" s="33" t="s">
        <v>184</v>
      </c>
      <c r="K108" s="33" t="s">
        <v>63</v>
      </c>
      <c r="L108" s="19" t="s">
        <v>576</v>
      </c>
      <c r="M108" s="33" t="s">
        <v>160</v>
      </c>
      <c r="N108" s="19" t="s">
        <v>577</v>
      </c>
    </row>
    <row r="109" customFormat="false" ht="24" hidden="false" customHeight="true" outlineLevel="0" collapsed="false">
      <c r="B109" s="28" t="s">
        <v>578</v>
      </c>
      <c r="C109" s="28" t="s">
        <v>579</v>
      </c>
      <c r="D109" s="29" t="s">
        <v>476</v>
      </c>
      <c r="E109" s="14" t="s">
        <v>580</v>
      </c>
      <c r="F109" s="30" t="s">
        <v>67</v>
      </c>
      <c r="G109" s="29" t="s">
        <v>94</v>
      </c>
      <c r="H109" s="29" t="n">
        <v>8</v>
      </c>
      <c r="I109" s="31" t="s">
        <v>10</v>
      </c>
      <c r="J109" s="29" t="s">
        <v>89</v>
      </c>
      <c r="K109" s="29" t="s">
        <v>19</v>
      </c>
      <c r="L109" s="14" t="s">
        <v>581</v>
      </c>
      <c r="M109" s="29" t="s">
        <v>206</v>
      </c>
      <c r="N109" s="14" t="s">
        <v>582</v>
      </c>
    </row>
    <row r="110" customFormat="false" ht="24" hidden="false" customHeight="true" outlineLevel="0" collapsed="false">
      <c r="B110" s="28"/>
      <c r="C110" s="28"/>
      <c r="D110" s="29" t="s">
        <v>583</v>
      </c>
      <c r="E110" s="14" t="s">
        <v>584</v>
      </c>
      <c r="F110" s="30" t="s">
        <v>67</v>
      </c>
      <c r="G110" s="29" t="s">
        <v>94</v>
      </c>
      <c r="H110" s="29" t="n">
        <v>8</v>
      </c>
      <c r="I110" s="31" t="s">
        <v>10</v>
      </c>
      <c r="J110" s="29" t="s">
        <v>89</v>
      </c>
      <c r="K110" s="29" t="s">
        <v>19</v>
      </c>
      <c r="L110" s="14" t="s">
        <v>585</v>
      </c>
      <c r="M110" s="29" t="s">
        <v>476</v>
      </c>
      <c r="N110" s="14" t="s">
        <v>586</v>
      </c>
    </row>
    <row r="111" customFormat="false" ht="24" hidden="false" customHeight="true" outlineLevel="0" collapsed="false">
      <c r="B111" s="28"/>
      <c r="C111" s="28"/>
      <c r="D111" s="29" t="s">
        <v>587</v>
      </c>
      <c r="E111" s="14" t="s">
        <v>588</v>
      </c>
      <c r="F111" s="42" t="s">
        <v>68</v>
      </c>
      <c r="G111" s="29" t="s">
        <v>94</v>
      </c>
      <c r="H111" s="29" t="n">
        <v>5</v>
      </c>
      <c r="I111" s="31" t="s">
        <v>10</v>
      </c>
      <c r="J111" s="29" t="s">
        <v>89</v>
      </c>
      <c r="K111" s="29" t="s">
        <v>19</v>
      </c>
      <c r="L111" s="14" t="s">
        <v>589</v>
      </c>
      <c r="M111" s="29" t="s">
        <v>476</v>
      </c>
      <c r="N111" s="14" t="s">
        <v>590</v>
      </c>
    </row>
    <row r="112" customFormat="false" ht="24" hidden="false" customHeight="true" outlineLevel="0" collapsed="false">
      <c r="B112" s="28"/>
      <c r="C112" s="28"/>
      <c r="D112" s="29" t="s">
        <v>591</v>
      </c>
      <c r="E112" s="14" t="s">
        <v>592</v>
      </c>
      <c r="F112" s="30" t="s">
        <v>67</v>
      </c>
      <c r="G112" s="29" t="s">
        <v>109</v>
      </c>
      <c r="H112" s="29" t="n">
        <v>5</v>
      </c>
      <c r="I112" s="31" t="s">
        <v>10</v>
      </c>
      <c r="J112" s="29" t="s">
        <v>89</v>
      </c>
      <c r="K112" s="29" t="s">
        <v>19</v>
      </c>
      <c r="L112" s="14" t="s">
        <v>593</v>
      </c>
      <c r="M112" s="29" t="s">
        <v>476</v>
      </c>
      <c r="N112" s="14" t="s">
        <v>594</v>
      </c>
    </row>
    <row r="113" customFormat="false" ht="24" hidden="false" customHeight="true" outlineLevel="0" collapsed="false">
      <c r="B113" s="36"/>
      <c r="C113" s="36"/>
      <c r="D113" s="37" t="s">
        <v>595</v>
      </c>
      <c r="E113" s="38" t="s">
        <v>596</v>
      </c>
      <c r="F113" s="39" t="s">
        <v>67</v>
      </c>
      <c r="G113" s="37" t="s">
        <v>94</v>
      </c>
      <c r="H113" s="37" t="n">
        <v>8</v>
      </c>
      <c r="I113" s="40" t="s">
        <v>12</v>
      </c>
      <c r="J113" s="37" t="s">
        <v>103</v>
      </c>
      <c r="K113" s="37" t="s">
        <v>27</v>
      </c>
      <c r="L113" s="38" t="s">
        <v>597</v>
      </c>
      <c r="M113" s="37" t="s">
        <v>476</v>
      </c>
      <c r="N113" s="38" t="s">
        <v>598</v>
      </c>
    </row>
    <row r="114" customFormat="false" ht="24" hidden="false" customHeight="true" outlineLevel="0" collapsed="false">
      <c r="B114" s="32"/>
      <c r="C114" s="32"/>
      <c r="D114" s="33" t="s">
        <v>599</v>
      </c>
      <c r="E114" s="19" t="s">
        <v>600</v>
      </c>
      <c r="F114" s="34" t="s">
        <v>68</v>
      </c>
      <c r="G114" s="33" t="s">
        <v>94</v>
      </c>
      <c r="H114" s="33" t="n">
        <v>8</v>
      </c>
      <c r="I114" s="35" t="s">
        <v>13</v>
      </c>
      <c r="J114" s="33" t="s">
        <v>103</v>
      </c>
      <c r="K114" s="33" t="s">
        <v>27</v>
      </c>
      <c r="L114" s="19" t="s">
        <v>601</v>
      </c>
      <c r="M114" s="33" t="s">
        <v>602</v>
      </c>
      <c r="N114" s="19" t="s">
        <v>603</v>
      </c>
    </row>
    <row r="115" customFormat="false" ht="24" hidden="false" customHeight="true" outlineLevel="0" collapsed="false">
      <c r="B115" s="28"/>
      <c r="C115" s="28"/>
      <c r="D115" s="29" t="s">
        <v>604</v>
      </c>
      <c r="E115" s="14" t="s">
        <v>605</v>
      </c>
      <c r="F115" s="30" t="s">
        <v>67</v>
      </c>
      <c r="G115" s="29" t="s">
        <v>94</v>
      </c>
      <c r="H115" s="29" t="n">
        <v>8</v>
      </c>
      <c r="I115" s="31" t="s">
        <v>10</v>
      </c>
      <c r="J115" s="29" t="s">
        <v>89</v>
      </c>
      <c r="K115" s="29" t="s">
        <v>19</v>
      </c>
      <c r="L115" s="14" t="s">
        <v>606</v>
      </c>
      <c r="M115" s="29" t="s">
        <v>476</v>
      </c>
      <c r="N115" s="14" t="s">
        <v>607</v>
      </c>
    </row>
    <row r="116" customFormat="false" ht="24" hidden="false" customHeight="true" outlineLevel="0" collapsed="false">
      <c r="B116" s="28"/>
      <c r="C116" s="28"/>
      <c r="D116" s="29" t="s">
        <v>608</v>
      </c>
      <c r="E116" s="14" t="s">
        <v>609</v>
      </c>
      <c r="F116" s="42" t="s">
        <v>68</v>
      </c>
      <c r="G116" s="29" t="s">
        <v>109</v>
      </c>
      <c r="H116" s="29" t="n">
        <v>5</v>
      </c>
      <c r="I116" s="31" t="s">
        <v>10</v>
      </c>
      <c r="J116" s="29" t="s">
        <v>89</v>
      </c>
      <c r="K116" s="29" t="s">
        <v>19</v>
      </c>
      <c r="L116" s="14" t="s">
        <v>610</v>
      </c>
      <c r="M116" s="29" t="s">
        <v>583</v>
      </c>
      <c r="N116" s="14" t="s">
        <v>611</v>
      </c>
    </row>
    <row r="117" customFormat="false" ht="24" hidden="false" customHeight="true" outlineLevel="0" collapsed="false">
      <c r="B117" s="28"/>
      <c r="C117" s="28"/>
      <c r="D117" s="29" t="s">
        <v>612</v>
      </c>
      <c r="E117" s="14" t="s">
        <v>613</v>
      </c>
      <c r="F117" s="42" t="s">
        <v>68</v>
      </c>
      <c r="G117" s="29" t="s">
        <v>109</v>
      </c>
      <c r="H117" s="29" t="n">
        <v>5</v>
      </c>
      <c r="I117" s="31" t="s">
        <v>10</v>
      </c>
      <c r="J117" s="29" t="s">
        <v>89</v>
      </c>
      <c r="K117" s="29" t="s">
        <v>19</v>
      </c>
      <c r="L117" s="14" t="s">
        <v>614</v>
      </c>
      <c r="M117" s="29" t="s">
        <v>476</v>
      </c>
      <c r="N117" s="14" t="s">
        <v>615</v>
      </c>
    </row>
    <row r="118" customFormat="false" ht="24" hidden="false" customHeight="true" outlineLevel="0" collapsed="false">
      <c r="B118" s="32" t="s">
        <v>616</v>
      </c>
      <c r="C118" s="32" t="s">
        <v>617</v>
      </c>
      <c r="D118" s="33" t="s">
        <v>618</v>
      </c>
      <c r="E118" s="19" t="s">
        <v>619</v>
      </c>
      <c r="F118" s="41" t="s">
        <v>67</v>
      </c>
      <c r="G118" s="33" t="s">
        <v>109</v>
      </c>
      <c r="H118" s="33" t="n">
        <v>5</v>
      </c>
      <c r="I118" s="35" t="s">
        <v>13</v>
      </c>
      <c r="J118" s="33" t="s">
        <v>110</v>
      </c>
      <c r="K118" s="33" t="s">
        <v>47</v>
      </c>
      <c r="L118" s="19" t="s">
        <v>620</v>
      </c>
      <c r="M118" s="33" t="s">
        <v>206</v>
      </c>
      <c r="N118" s="19" t="s">
        <v>621</v>
      </c>
    </row>
    <row r="119" customFormat="false" ht="24" hidden="false" customHeight="true" outlineLevel="0" collapsed="false">
      <c r="B119" s="32"/>
      <c r="C119" s="32"/>
      <c r="D119" s="33" t="s">
        <v>622</v>
      </c>
      <c r="E119" s="19" t="s">
        <v>623</v>
      </c>
      <c r="F119" s="41" t="s">
        <v>67</v>
      </c>
      <c r="G119" s="33" t="s">
        <v>88</v>
      </c>
      <c r="H119" s="33" t="n">
        <v>13</v>
      </c>
      <c r="I119" s="35" t="s">
        <v>13</v>
      </c>
      <c r="J119" s="33" t="s">
        <v>110</v>
      </c>
      <c r="K119" s="33" t="s">
        <v>47</v>
      </c>
      <c r="L119" s="19" t="s">
        <v>624</v>
      </c>
      <c r="M119" s="33" t="s">
        <v>625</v>
      </c>
      <c r="N119" s="19" t="s">
        <v>626</v>
      </c>
    </row>
    <row r="120" customFormat="false" ht="24" hidden="false" customHeight="true" outlineLevel="0" collapsed="false">
      <c r="B120" s="32"/>
      <c r="C120" s="32"/>
      <c r="D120" s="33" t="s">
        <v>627</v>
      </c>
      <c r="E120" s="19" t="s">
        <v>628</v>
      </c>
      <c r="F120" s="41" t="s">
        <v>67</v>
      </c>
      <c r="G120" s="33" t="s">
        <v>88</v>
      </c>
      <c r="H120" s="33" t="n">
        <v>13</v>
      </c>
      <c r="I120" s="35" t="s">
        <v>13</v>
      </c>
      <c r="J120" s="33" t="s">
        <v>122</v>
      </c>
      <c r="K120" s="33" t="s">
        <v>55</v>
      </c>
      <c r="L120" s="19" t="s">
        <v>629</v>
      </c>
      <c r="M120" s="33" t="s">
        <v>630</v>
      </c>
      <c r="N120" s="19" t="s">
        <v>631</v>
      </c>
    </row>
    <row r="121" customFormat="false" ht="24" hidden="false" customHeight="true" outlineLevel="0" collapsed="false">
      <c r="B121" s="32"/>
      <c r="C121" s="32"/>
      <c r="D121" s="33" t="s">
        <v>632</v>
      </c>
      <c r="E121" s="19" t="s">
        <v>633</v>
      </c>
      <c r="F121" s="41" t="s">
        <v>67</v>
      </c>
      <c r="G121" s="33" t="s">
        <v>94</v>
      </c>
      <c r="H121" s="33" t="n">
        <v>8</v>
      </c>
      <c r="I121" s="35" t="s">
        <v>13</v>
      </c>
      <c r="J121" s="33" t="s">
        <v>122</v>
      </c>
      <c r="K121" s="33" t="s">
        <v>55</v>
      </c>
      <c r="L121" s="19" t="s">
        <v>634</v>
      </c>
      <c r="M121" s="33" t="s">
        <v>627</v>
      </c>
      <c r="N121" s="19" t="s">
        <v>635</v>
      </c>
    </row>
    <row r="122" customFormat="false" ht="24" hidden="false" customHeight="true" outlineLevel="0" collapsed="false">
      <c r="B122" s="32"/>
      <c r="C122" s="32"/>
      <c r="D122" s="33" t="s">
        <v>636</v>
      </c>
      <c r="E122" s="19" t="s">
        <v>637</v>
      </c>
      <c r="F122" s="41" t="s">
        <v>67</v>
      </c>
      <c r="G122" s="33" t="s">
        <v>94</v>
      </c>
      <c r="H122" s="33" t="n">
        <v>8</v>
      </c>
      <c r="I122" s="35" t="s">
        <v>13</v>
      </c>
      <c r="J122" s="33" t="s">
        <v>122</v>
      </c>
      <c r="K122" s="33" t="s">
        <v>55</v>
      </c>
      <c r="L122" s="19" t="s">
        <v>638</v>
      </c>
      <c r="M122" s="33" t="s">
        <v>632</v>
      </c>
      <c r="N122" s="19" t="s">
        <v>639</v>
      </c>
    </row>
    <row r="123" customFormat="false" ht="24" hidden="false" customHeight="true" outlineLevel="0" collapsed="false">
      <c r="B123" s="32" t="s">
        <v>640</v>
      </c>
      <c r="C123" s="32" t="s">
        <v>641</v>
      </c>
      <c r="D123" s="33" t="s">
        <v>642</v>
      </c>
      <c r="E123" s="19" t="s">
        <v>643</v>
      </c>
      <c r="F123" s="35" t="s">
        <v>69</v>
      </c>
      <c r="G123" s="33" t="s">
        <v>88</v>
      </c>
      <c r="H123" s="33" t="n">
        <v>34</v>
      </c>
      <c r="I123" s="35" t="s">
        <v>13</v>
      </c>
      <c r="J123" s="33" t="s">
        <v>184</v>
      </c>
      <c r="K123" s="33" t="s">
        <v>63</v>
      </c>
      <c r="L123" s="19" t="s">
        <v>644</v>
      </c>
      <c r="M123" s="33" t="s">
        <v>645</v>
      </c>
      <c r="N123" s="19" t="s">
        <v>646</v>
      </c>
    </row>
    <row r="124" customFormat="false" ht="24" hidden="false" customHeight="true" outlineLevel="0" collapsed="false">
      <c r="B124" s="32"/>
      <c r="C124" s="32"/>
      <c r="D124" s="33" t="s">
        <v>647</v>
      </c>
      <c r="E124" s="19" t="s">
        <v>648</v>
      </c>
      <c r="F124" s="35" t="s">
        <v>69</v>
      </c>
      <c r="G124" s="33" t="s">
        <v>88</v>
      </c>
      <c r="H124" s="33" t="n">
        <v>21</v>
      </c>
      <c r="I124" s="35" t="s">
        <v>13</v>
      </c>
      <c r="J124" s="33" t="s">
        <v>184</v>
      </c>
      <c r="K124" s="33" t="s">
        <v>63</v>
      </c>
      <c r="L124" s="19" t="s">
        <v>649</v>
      </c>
      <c r="M124" s="33" t="s">
        <v>558</v>
      </c>
      <c r="N124" s="19" t="s">
        <v>650</v>
      </c>
    </row>
    <row r="125" customFormat="false" ht="24" hidden="false" customHeight="true" outlineLevel="0" collapsed="false">
      <c r="B125" s="32"/>
      <c r="C125" s="32"/>
      <c r="D125" s="33" t="s">
        <v>651</v>
      </c>
      <c r="E125" s="19" t="s">
        <v>652</v>
      </c>
      <c r="F125" s="35" t="s">
        <v>69</v>
      </c>
      <c r="G125" s="33" t="s">
        <v>88</v>
      </c>
      <c r="H125" s="33" t="n">
        <v>21</v>
      </c>
      <c r="I125" s="35" t="s">
        <v>13</v>
      </c>
      <c r="J125" s="33" t="s">
        <v>184</v>
      </c>
      <c r="K125" s="33" t="s">
        <v>63</v>
      </c>
      <c r="L125" s="19" t="s">
        <v>653</v>
      </c>
      <c r="M125" s="33" t="s">
        <v>384</v>
      </c>
      <c r="N125" s="19" t="s">
        <v>654</v>
      </c>
    </row>
    <row r="126" customFormat="false" ht="24" hidden="false" customHeight="true" outlineLevel="0" collapsed="false">
      <c r="B126" s="32"/>
      <c r="C126" s="32"/>
      <c r="D126" s="33" t="s">
        <v>655</v>
      </c>
      <c r="E126" s="19" t="s">
        <v>656</v>
      </c>
      <c r="F126" s="35" t="s">
        <v>69</v>
      </c>
      <c r="G126" s="33" t="s">
        <v>94</v>
      </c>
      <c r="H126" s="33" t="n">
        <v>8</v>
      </c>
      <c r="I126" s="35" t="s">
        <v>13</v>
      </c>
      <c r="J126" s="33" t="s">
        <v>184</v>
      </c>
      <c r="K126" s="33" t="s">
        <v>63</v>
      </c>
      <c r="L126" s="19" t="s">
        <v>657</v>
      </c>
      <c r="M126" s="33" t="s">
        <v>658</v>
      </c>
      <c r="N126" s="19" t="s">
        <v>659</v>
      </c>
    </row>
    <row r="127" customFormat="false" ht="15" hidden="false" customHeight="false" outlineLevel="0" collapsed="false">
      <c r="B127" s="43" t="s">
        <v>660</v>
      </c>
      <c r="C127" s="44"/>
      <c r="D127" s="44"/>
      <c r="E127" s="44"/>
      <c r="F127" s="44"/>
      <c r="G127" s="44"/>
      <c r="H127" s="43" t="n">
        <f aca="false">SUM(H3:H126)</f>
        <v>1292</v>
      </c>
      <c r="I127" s="44"/>
      <c r="J127" s="44"/>
      <c r="K127" s="44"/>
      <c r="L127" s="44"/>
      <c r="M127" s="44"/>
      <c r="N127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62"/>
    <col collapsed="false" customWidth="true" hidden="false" outlineLevel="0" max="8" min="4" style="0" width="12"/>
  </cols>
  <sheetData>
    <row r="2" customFormat="false" ht="15" hidden="false" customHeight="false" outlineLevel="0" collapsed="false">
      <c r="B2" s="4" t="s">
        <v>15</v>
      </c>
      <c r="C2" s="4" t="s">
        <v>661</v>
      </c>
      <c r="D2" s="4" t="s">
        <v>662</v>
      </c>
      <c r="E2" s="4" t="s">
        <v>663</v>
      </c>
      <c r="F2" s="4" t="s">
        <v>7</v>
      </c>
      <c r="G2" s="4" t="s">
        <v>6</v>
      </c>
      <c r="H2" s="4" t="s">
        <v>5</v>
      </c>
    </row>
    <row r="3" customFormat="false" ht="25.5" hidden="false" customHeight="true" outlineLevel="0" collapsed="false">
      <c r="B3" s="13" t="s">
        <v>19</v>
      </c>
      <c r="C3" s="14" t="s">
        <v>664</v>
      </c>
      <c r="D3" s="15" t="s">
        <v>21</v>
      </c>
      <c r="E3" s="15" t="s">
        <v>21</v>
      </c>
      <c r="F3" s="16" t="n">
        <f aca="false">SUMIF('📦 Product Backlog'!K:K,"Delivered",'📦 Product Backlog'!H:H)</f>
        <v>204</v>
      </c>
      <c r="G3" s="16" t="n">
        <f aca="false">COUNTIF('📦 Product Backlog'!K:K,"Delivered")</f>
        <v>22</v>
      </c>
      <c r="H3" s="17" t="s">
        <v>10</v>
      </c>
    </row>
    <row r="4" customFormat="false" ht="25.5" hidden="false" customHeight="true" outlineLevel="0" collapsed="false">
      <c r="B4" s="18" t="s">
        <v>22</v>
      </c>
      <c r="C4" s="19" t="s">
        <v>23</v>
      </c>
      <c r="D4" s="20" t="s">
        <v>24</v>
      </c>
      <c r="E4" s="20" t="s">
        <v>25</v>
      </c>
      <c r="F4" s="21" t="n">
        <f aca="false">SUMIF('📦 Product Backlog'!K:K,"Sprint 1",'📦 Product Backlog'!H:H)</f>
        <v>86</v>
      </c>
      <c r="G4" s="21" t="n">
        <f aca="false">COUNTIF('📦 Product Backlog'!K:K,"Sprint 1")</f>
        <v>9</v>
      </c>
      <c r="H4" s="22" t="s">
        <v>26</v>
      </c>
    </row>
    <row r="5" customFormat="false" ht="25.5" hidden="false" customHeight="true" outlineLevel="0" collapsed="false">
      <c r="B5" s="18" t="s">
        <v>27</v>
      </c>
      <c r="C5" s="19" t="s">
        <v>28</v>
      </c>
      <c r="D5" s="20" t="s">
        <v>29</v>
      </c>
      <c r="E5" s="20" t="s">
        <v>30</v>
      </c>
      <c r="F5" s="21" t="n">
        <f aca="false">SUMIF('📦 Product Backlog'!K:K,"Sprint 2",'📦 Product Backlog'!H:H)</f>
        <v>89</v>
      </c>
      <c r="G5" s="21" t="n">
        <f aca="false">COUNTIF('📦 Product Backlog'!K:K,"Sprint 2")</f>
        <v>9</v>
      </c>
      <c r="H5" s="22" t="s">
        <v>26</v>
      </c>
    </row>
    <row r="6" customFormat="false" ht="25.5" hidden="false" customHeight="true" outlineLevel="0" collapsed="false">
      <c r="B6" s="18" t="s">
        <v>31</v>
      </c>
      <c r="C6" s="19" t="s">
        <v>32</v>
      </c>
      <c r="D6" s="20" t="s">
        <v>33</v>
      </c>
      <c r="E6" s="20" t="s">
        <v>34</v>
      </c>
      <c r="F6" s="21" t="n">
        <f aca="false">SUMIF('📦 Product Backlog'!K:K,"Sprint 3",'📦 Product Backlog'!H:H)</f>
        <v>100</v>
      </c>
      <c r="G6" s="21" t="n">
        <f aca="false">COUNTIF('📦 Product Backlog'!K:K,"Sprint 3")</f>
        <v>12</v>
      </c>
      <c r="H6" s="22" t="s">
        <v>26</v>
      </c>
    </row>
    <row r="7" customFormat="false" ht="25.5" hidden="false" customHeight="true" outlineLevel="0" collapsed="false">
      <c r="B7" s="18" t="s">
        <v>35</v>
      </c>
      <c r="C7" s="19" t="s">
        <v>36</v>
      </c>
      <c r="D7" s="20" t="s">
        <v>37</v>
      </c>
      <c r="E7" s="20" t="s">
        <v>38</v>
      </c>
      <c r="F7" s="21" t="n">
        <f aca="false">SUMIF('📦 Product Backlog'!K:K,"Sprint 4",'📦 Product Backlog'!H:H)</f>
        <v>81</v>
      </c>
      <c r="G7" s="21" t="n">
        <f aca="false">COUNTIF('📦 Product Backlog'!K:K,"Sprint 4")</f>
        <v>6</v>
      </c>
      <c r="H7" s="22" t="s">
        <v>26</v>
      </c>
    </row>
    <row r="8" customFormat="false" ht="25.5" hidden="false" customHeight="true" outlineLevel="0" collapsed="false">
      <c r="B8" s="18" t="s">
        <v>39</v>
      </c>
      <c r="C8" s="19" t="s">
        <v>40</v>
      </c>
      <c r="D8" s="20" t="s">
        <v>41</v>
      </c>
      <c r="E8" s="20" t="s">
        <v>42</v>
      </c>
      <c r="F8" s="21" t="n">
        <f aca="false">SUMIF('📦 Product Backlog'!K:K,"Sprint 5",'📦 Product Backlog'!H:H)</f>
        <v>86</v>
      </c>
      <c r="G8" s="21" t="n">
        <f aca="false">COUNTIF('📦 Product Backlog'!K:K,"Sprint 5")</f>
        <v>9</v>
      </c>
      <c r="H8" s="22" t="s">
        <v>26</v>
      </c>
    </row>
    <row r="9" customFormat="false" ht="25.5" hidden="false" customHeight="true" outlineLevel="0" collapsed="false">
      <c r="B9" s="18" t="s">
        <v>43</v>
      </c>
      <c r="C9" s="19" t="s">
        <v>44</v>
      </c>
      <c r="D9" s="20" t="s">
        <v>45</v>
      </c>
      <c r="E9" s="20" t="s">
        <v>46</v>
      </c>
      <c r="F9" s="21" t="n">
        <f aca="false">SUMIF('📦 Product Backlog'!K:K,"Sprint 6",'📦 Product Backlog'!H:H)</f>
        <v>86</v>
      </c>
      <c r="G9" s="21" t="n">
        <f aca="false">COUNTIF('📦 Product Backlog'!K:K,"Sprint 6")</f>
        <v>10</v>
      </c>
      <c r="H9" s="22" t="s">
        <v>26</v>
      </c>
    </row>
    <row r="10" customFormat="false" ht="25.5" hidden="false" customHeight="true" outlineLevel="0" collapsed="false">
      <c r="B10" s="18" t="s">
        <v>47</v>
      </c>
      <c r="C10" s="19" t="s">
        <v>48</v>
      </c>
      <c r="D10" s="20" t="s">
        <v>49</v>
      </c>
      <c r="E10" s="20" t="s">
        <v>50</v>
      </c>
      <c r="F10" s="21" t="n">
        <f aca="false">SUMIF('📦 Product Backlog'!K:K,"Sprint 7",'📦 Product Backlog'!H:H)</f>
        <v>81</v>
      </c>
      <c r="G10" s="21" t="n">
        <f aca="false">COUNTIF('📦 Product Backlog'!K:K,"Sprint 7")</f>
        <v>8</v>
      </c>
      <c r="H10" s="22" t="s">
        <v>26</v>
      </c>
    </row>
    <row r="11" customFormat="false" ht="25.5" hidden="false" customHeight="true" outlineLevel="0" collapsed="false">
      <c r="B11" s="18" t="s">
        <v>51</v>
      </c>
      <c r="C11" s="19" t="s">
        <v>52</v>
      </c>
      <c r="D11" s="20" t="s">
        <v>53</v>
      </c>
      <c r="E11" s="20" t="s">
        <v>54</v>
      </c>
      <c r="F11" s="21" t="n">
        <f aca="false">SUMIF('📦 Product Backlog'!K:K,"Sprint 8",'📦 Product Backlog'!H:H)</f>
        <v>102</v>
      </c>
      <c r="G11" s="21" t="n">
        <f aca="false">COUNTIF('📦 Product Backlog'!K:K,"Sprint 8")</f>
        <v>11</v>
      </c>
      <c r="H11" s="22" t="s">
        <v>26</v>
      </c>
    </row>
    <row r="12" customFormat="false" ht="25.5" hidden="false" customHeight="true" outlineLevel="0" collapsed="false">
      <c r="B12" s="18" t="s">
        <v>55</v>
      </c>
      <c r="C12" s="19" t="s">
        <v>56</v>
      </c>
      <c r="D12" s="20" t="s">
        <v>57</v>
      </c>
      <c r="E12" s="20" t="s">
        <v>58</v>
      </c>
      <c r="F12" s="21" t="n">
        <f aca="false">SUMIF('📦 Product Backlog'!K:K,"Sprint 9",'📦 Product Backlog'!H:H)</f>
        <v>97</v>
      </c>
      <c r="G12" s="21" t="n">
        <f aca="false">COUNTIF('📦 Product Backlog'!K:K,"Sprint 9")</f>
        <v>9</v>
      </c>
      <c r="H12" s="22" t="s">
        <v>26</v>
      </c>
    </row>
    <row r="13" customFormat="false" ht="25.5" hidden="false" customHeight="true" outlineLevel="0" collapsed="false">
      <c r="B13" s="18" t="s">
        <v>59</v>
      </c>
      <c r="C13" s="19" t="s">
        <v>60</v>
      </c>
      <c r="D13" s="20" t="s">
        <v>61</v>
      </c>
      <c r="E13" s="20" t="s">
        <v>62</v>
      </c>
      <c r="F13" s="21" t="n">
        <f aca="false">SUMIF('📦 Product Backlog'!K:K,"Sprint 10",'📦 Product Backlog'!H:H)</f>
        <v>102</v>
      </c>
      <c r="G13" s="21" t="n">
        <f aca="false">COUNTIF('📦 Product Backlog'!K:K,"Sprint 10")</f>
        <v>9</v>
      </c>
      <c r="H13" s="22" t="s">
        <v>26</v>
      </c>
    </row>
    <row r="14" customFormat="false" ht="25.5" hidden="false" customHeight="true" outlineLevel="0" collapsed="false">
      <c r="B14" s="18" t="s">
        <v>63</v>
      </c>
      <c r="C14" s="19" t="s">
        <v>64</v>
      </c>
      <c r="D14" s="20" t="s">
        <v>65</v>
      </c>
      <c r="E14" s="20" t="s">
        <v>65</v>
      </c>
      <c r="F14" s="21" t="n">
        <f aca="false">SUMIF('📦 Product Backlog'!K:K,"Sprint 11+",'📦 Product Backlog'!H:H)</f>
        <v>178</v>
      </c>
      <c r="G14" s="21" t="n">
        <f aca="false">COUNTIF('📦 Product Backlog'!K:K,"Sprint 11+")</f>
        <v>10</v>
      </c>
      <c r="H14" s="22" t="s">
        <v>26</v>
      </c>
    </row>
    <row r="15" customFormat="false" ht="15" hidden="false" customHeight="false" outlineLevel="0" collapsed="false">
      <c r="B15" s="43" t="s">
        <v>665</v>
      </c>
      <c r="C15" s="44"/>
      <c r="D15" s="44"/>
      <c r="E15" s="44"/>
      <c r="F15" s="43" t="n">
        <f aca="false">SUM(F3:F14)</f>
        <v>1292</v>
      </c>
      <c r="G15" s="43" t="n">
        <f aca="false">SUM(G3:G14)</f>
        <v>124</v>
      </c>
      <c r="H15" s="44"/>
    </row>
    <row r="17" customFormat="false" ht="15" hidden="false" customHeight="false" outlineLevel="0" collapsed="false">
      <c r="B17" s="12" t="s">
        <v>666</v>
      </c>
    </row>
    <row r="18" customFormat="false" ht="15" hidden="false" customHeight="false" outlineLevel="0" collapsed="false">
      <c r="B18" s="4" t="s">
        <v>15</v>
      </c>
      <c r="C18" s="4" t="s">
        <v>75</v>
      </c>
      <c r="D18" s="4" t="s">
        <v>74</v>
      </c>
      <c r="E18" s="4" t="s">
        <v>76</v>
      </c>
      <c r="F18" s="4" t="s">
        <v>77</v>
      </c>
      <c r="G18" s="4" t="s">
        <v>78</v>
      </c>
      <c r="H18" s="4" t="s">
        <v>5</v>
      </c>
    </row>
    <row r="19" customFormat="false" ht="15" hidden="false" customHeight="false" outlineLevel="0" collapsed="false">
      <c r="B19" s="15" t="s">
        <v>19</v>
      </c>
      <c r="C19" s="15" t="s">
        <v>87</v>
      </c>
      <c r="D19" s="15" t="s">
        <v>86</v>
      </c>
      <c r="E19" s="45" t="s">
        <v>67</v>
      </c>
      <c r="F19" s="15" t="s">
        <v>88</v>
      </c>
      <c r="G19" s="15" t="n">
        <v>21</v>
      </c>
      <c r="H19" s="17" t="s">
        <v>10</v>
      </c>
    </row>
    <row r="20" customFormat="false" ht="15" hidden="false" customHeight="false" outlineLevel="0" collapsed="false">
      <c r="B20" s="15" t="s">
        <v>19</v>
      </c>
      <c r="C20" s="15" t="s">
        <v>93</v>
      </c>
      <c r="D20" s="15" t="s">
        <v>92</v>
      </c>
      <c r="E20" s="45" t="s">
        <v>67</v>
      </c>
      <c r="F20" s="15" t="s">
        <v>94</v>
      </c>
      <c r="G20" s="15" t="n">
        <v>8</v>
      </c>
      <c r="H20" s="17" t="s">
        <v>10</v>
      </c>
    </row>
    <row r="21" customFormat="false" ht="15" hidden="false" customHeight="false" outlineLevel="0" collapsed="false">
      <c r="B21" s="15" t="s">
        <v>19</v>
      </c>
      <c r="C21" s="15" t="s">
        <v>98</v>
      </c>
      <c r="D21" s="15" t="s">
        <v>97</v>
      </c>
      <c r="E21" s="45" t="s">
        <v>67</v>
      </c>
      <c r="F21" s="15" t="s">
        <v>94</v>
      </c>
      <c r="G21" s="15" t="n">
        <v>13</v>
      </c>
      <c r="H21" s="17" t="s">
        <v>10</v>
      </c>
    </row>
    <row r="22" customFormat="false" ht="15" hidden="false" customHeight="false" outlineLevel="0" collapsed="false">
      <c r="B22" s="15" t="s">
        <v>19</v>
      </c>
      <c r="C22" s="15" t="s">
        <v>116</v>
      </c>
      <c r="D22" s="15" t="s">
        <v>115</v>
      </c>
      <c r="E22" s="45" t="s">
        <v>67</v>
      </c>
      <c r="F22" s="15" t="s">
        <v>88</v>
      </c>
      <c r="G22" s="15" t="n">
        <v>13</v>
      </c>
      <c r="H22" s="17" t="s">
        <v>10</v>
      </c>
    </row>
    <row r="23" customFormat="false" ht="15" hidden="false" customHeight="false" outlineLevel="0" collapsed="false">
      <c r="B23" s="15" t="s">
        <v>19</v>
      </c>
      <c r="C23" s="15" t="s">
        <v>126</v>
      </c>
      <c r="D23" s="15" t="s">
        <v>125</v>
      </c>
      <c r="E23" s="45" t="s">
        <v>67</v>
      </c>
      <c r="F23" s="15" t="s">
        <v>94</v>
      </c>
      <c r="G23" s="15" t="n">
        <v>8</v>
      </c>
      <c r="H23" s="17" t="s">
        <v>10</v>
      </c>
    </row>
    <row r="24" customFormat="false" ht="15" hidden="false" customHeight="false" outlineLevel="0" collapsed="false">
      <c r="B24" s="15" t="s">
        <v>19</v>
      </c>
      <c r="C24" s="15" t="s">
        <v>139</v>
      </c>
      <c r="D24" s="15" t="s">
        <v>138</v>
      </c>
      <c r="E24" s="45" t="s">
        <v>67</v>
      </c>
      <c r="F24" s="15" t="s">
        <v>94</v>
      </c>
      <c r="G24" s="15" t="n">
        <v>8</v>
      </c>
      <c r="H24" s="17" t="s">
        <v>10</v>
      </c>
    </row>
    <row r="25" customFormat="false" ht="15" hidden="false" customHeight="false" outlineLevel="0" collapsed="false">
      <c r="B25" s="15" t="s">
        <v>19</v>
      </c>
      <c r="C25" s="15" t="s">
        <v>143</v>
      </c>
      <c r="D25" s="15" t="s">
        <v>142</v>
      </c>
      <c r="E25" s="45" t="s">
        <v>67</v>
      </c>
      <c r="F25" s="15" t="s">
        <v>94</v>
      </c>
      <c r="G25" s="15" t="n">
        <v>8</v>
      </c>
      <c r="H25" s="17" t="s">
        <v>10</v>
      </c>
    </row>
    <row r="26" customFormat="false" ht="15" hidden="false" customHeight="false" outlineLevel="0" collapsed="false">
      <c r="B26" s="15" t="s">
        <v>19</v>
      </c>
      <c r="C26" s="15" t="s">
        <v>166</v>
      </c>
      <c r="D26" s="15" t="s">
        <v>165</v>
      </c>
      <c r="E26" s="45" t="s">
        <v>67</v>
      </c>
      <c r="F26" s="15" t="s">
        <v>109</v>
      </c>
      <c r="G26" s="15" t="n">
        <v>5</v>
      </c>
      <c r="H26" s="17" t="s">
        <v>10</v>
      </c>
    </row>
    <row r="27" customFormat="false" ht="15" hidden="false" customHeight="false" outlineLevel="0" collapsed="false">
      <c r="B27" s="15" t="s">
        <v>19</v>
      </c>
      <c r="C27" s="15" t="s">
        <v>302</v>
      </c>
      <c r="D27" s="15" t="s">
        <v>301</v>
      </c>
      <c r="E27" s="46" t="s">
        <v>68</v>
      </c>
      <c r="F27" s="15" t="s">
        <v>109</v>
      </c>
      <c r="G27" s="15" t="n">
        <v>5</v>
      </c>
      <c r="H27" s="17" t="s">
        <v>10</v>
      </c>
    </row>
    <row r="28" customFormat="false" ht="15" hidden="false" customHeight="false" outlineLevel="0" collapsed="false">
      <c r="B28" s="15" t="s">
        <v>19</v>
      </c>
      <c r="C28" s="15" t="s">
        <v>329</v>
      </c>
      <c r="D28" s="15" t="s">
        <v>328</v>
      </c>
      <c r="E28" s="45" t="s">
        <v>67</v>
      </c>
      <c r="F28" s="15" t="s">
        <v>94</v>
      </c>
      <c r="G28" s="15" t="n">
        <v>13</v>
      </c>
      <c r="H28" s="17" t="s">
        <v>10</v>
      </c>
    </row>
    <row r="29" customFormat="false" ht="15" hidden="false" customHeight="false" outlineLevel="0" collapsed="false">
      <c r="B29" s="15" t="s">
        <v>19</v>
      </c>
      <c r="C29" s="15" t="s">
        <v>424</v>
      </c>
      <c r="D29" s="15" t="s">
        <v>423</v>
      </c>
      <c r="E29" s="45" t="s">
        <v>67</v>
      </c>
      <c r="F29" s="15" t="s">
        <v>94</v>
      </c>
      <c r="G29" s="15" t="n">
        <v>8</v>
      </c>
      <c r="H29" s="17" t="s">
        <v>10</v>
      </c>
    </row>
    <row r="30" customFormat="false" ht="15" hidden="false" customHeight="false" outlineLevel="0" collapsed="false">
      <c r="B30" s="15" t="s">
        <v>19</v>
      </c>
      <c r="C30" s="15" t="s">
        <v>474</v>
      </c>
      <c r="D30" s="15" t="s">
        <v>473</v>
      </c>
      <c r="E30" s="45" t="s">
        <v>67</v>
      </c>
      <c r="F30" s="15" t="s">
        <v>94</v>
      </c>
      <c r="G30" s="15" t="n">
        <v>8</v>
      </c>
      <c r="H30" s="17" t="s">
        <v>10</v>
      </c>
    </row>
    <row r="31" customFormat="false" ht="15" hidden="false" customHeight="false" outlineLevel="0" collapsed="false">
      <c r="B31" s="15" t="s">
        <v>19</v>
      </c>
      <c r="C31" s="15" t="s">
        <v>481</v>
      </c>
      <c r="D31" s="15" t="s">
        <v>480</v>
      </c>
      <c r="E31" s="45" t="s">
        <v>67</v>
      </c>
      <c r="F31" s="15" t="s">
        <v>88</v>
      </c>
      <c r="G31" s="15" t="n">
        <v>13</v>
      </c>
      <c r="H31" s="17" t="s">
        <v>10</v>
      </c>
    </row>
    <row r="32" customFormat="false" ht="15" hidden="false" customHeight="false" outlineLevel="0" collapsed="false">
      <c r="B32" s="15" t="s">
        <v>19</v>
      </c>
      <c r="C32" s="15" t="s">
        <v>488</v>
      </c>
      <c r="D32" s="15" t="s">
        <v>206</v>
      </c>
      <c r="E32" s="45" t="s">
        <v>67</v>
      </c>
      <c r="F32" s="15" t="s">
        <v>109</v>
      </c>
      <c r="G32" s="15" t="n">
        <v>8</v>
      </c>
      <c r="H32" s="17" t="s">
        <v>10</v>
      </c>
    </row>
    <row r="33" customFormat="false" ht="15" hidden="false" customHeight="false" outlineLevel="0" collapsed="false">
      <c r="B33" s="15" t="s">
        <v>19</v>
      </c>
      <c r="C33" s="15" t="s">
        <v>492</v>
      </c>
      <c r="D33" s="15" t="s">
        <v>491</v>
      </c>
      <c r="E33" s="45" t="s">
        <v>67</v>
      </c>
      <c r="F33" s="15" t="s">
        <v>88</v>
      </c>
      <c r="G33" s="15" t="n">
        <v>21</v>
      </c>
      <c r="H33" s="17" t="s">
        <v>10</v>
      </c>
    </row>
    <row r="34" customFormat="false" ht="15" hidden="false" customHeight="false" outlineLevel="0" collapsed="false">
      <c r="B34" s="15" t="s">
        <v>19</v>
      </c>
      <c r="C34" s="15" t="s">
        <v>580</v>
      </c>
      <c r="D34" s="15" t="s">
        <v>476</v>
      </c>
      <c r="E34" s="45" t="s">
        <v>67</v>
      </c>
      <c r="F34" s="15" t="s">
        <v>94</v>
      </c>
      <c r="G34" s="15" t="n">
        <v>8</v>
      </c>
      <c r="H34" s="17" t="s">
        <v>10</v>
      </c>
    </row>
    <row r="35" customFormat="false" ht="15" hidden="false" customHeight="false" outlineLevel="0" collapsed="false">
      <c r="B35" s="15" t="s">
        <v>19</v>
      </c>
      <c r="C35" s="15" t="s">
        <v>584</v>
      </c>
      <c r="D35" s="15" t="s">
        <v>583</v>
      </c>
      <c r="E35" s="45" t="s">
        <v>67</v>
      </c>
      <c r="F35" s="15" t="s">
        <v>94</v>
      </c>
      <c r="G35" s="15" t="n">
        <v>8</v>
      </c>
      <c r="H35" s="17" t="s">
        <v>10</v>
      </c>
    </row>
    <row r="36" customFormat="false" ht="15" hidden="false" customHeight="false" outlineLevel="0" collapsed="false">
      <c r="B36" s="15" t="s">
        <v>19</v>
      </c>
      <c r="C36" s="15" t="s">
        <v>588</v>
      </c>
      <c r="D36" s="15" t="s">
        <v>587</v>
      </c>
      <c r="E36" s="46" t="s">
        <v>68</v>
      </c>
      <c r="F36" s="15" t="s">
        <v>94</v>
      </c>
      <c r="G36" s="15" t="n">
        <v>5</v>
      </c>
      <c r="H36" s="17" t="s">
        <v>10</v>
      </c>
    </row>
    <row r="37" customFormat="false" ht="15" hidden="false" customHeight="false" outlineLevel="0" collapsed="false">
      <c r="B37" s="15" t="s">
        <v>19</v>
      </c>
      <c r="C37" s="15" t="s">
        <v>592</v>
      </c>
      <c r="D37" s="15" t="s">
        <v>591</v>
      </c>
      <c r="E37" s="45" t="s">
        <v>67</v>
      </c>
      <c r="F37" s="15" t="s">
        <v>109</v>
      </c>
      <c r="G37" s="15" t="n">
        <v>5</v>
      </c>
      <c r="H37" s="17" t="s">
        <v>10</v>
      </c>
    </row>
    <row r="38" customFormat="false" ht="15" hidden="false" customHeight="false" outlineLevel="0" collapsed="false">
      <c r="B38" s="15" t="s">
        <v>19</v>
      </c>
      <c r="C38" s="15" t="s">
        <v>605</v>
      </c>
      <c r="D38" s="15" t="s">
        <v>604</v>
      </c>
      <c r="E38" s="45" t="s">
        <v>67</v>
      </c>
      <c r="F38" s="15" t="s">
        <v>94</v>
      </c>
      <c r="G38" s="15" t="n">
        <v>8</v>
      </c>
      <c r="H38" s="17" t="s">
        <v>10</v>
      </c>
    </row>
    <row r="39" customFormat="false" ht="15" hidden="false" customHeight="false" outlineLevel="0" collapsed="false">
      <c r="B39" s="15" t="s">
        <v>19</v>
      </c>
      <c r="C39" s="15" t="s">
        <v>609</v>
      </c>
      <c r="D39" s="15" t="s">
        <v>608</v>
      </c>
      <c r="E39" s="46" t="s">
        <v>68</v>
      </c>
      <c r="F39" s="15" t="s">
        <v>109</v>
      </c>
      <c r="G39" s="15" t="n">
        <v>5</v>
      </c>
      <c r="H39" s="17" t="s">
        <v>10</v>
      </c>
    </row>
    <row r="40" customFormat="false" ht="15" hidden="false" customHeight="false" outlineLevel="0" collapsed="false">
      <c r="B40" s="15" t="s">
        <v>19</v>
      </c>
      <c r="C40" s="15" t="s">
        <v>613</v>
      </c>
      <c r="D40" s="15" t="s">
        <v>612</v>
      </c>
      <c r="E40" s="46" t="s">
        <v>68</v>
      </c>
      <c r="F40" s="15" t="s">
        <v>109</v>
      </c>
      <c r="G40" s="15" t="n">
        <v>5</v>
      </c>
      <c r="H40" s="17" t="s">
        <v>10</v>
      </c>
    </row>
    <row r="41" customFormat="false" ht="15" hidden="false" customHeight="false" outlineLevel="0" collapsed="false">
      <c r="B41" s="47" t="s">
        <v>22</v>
      </c>
      <c r="C41" s="47" t="s">
        <v>157</v>
      </c>
      <c r="D41" s="47" t="s">
        <v>156</v>
      </c>
      <c r="E41" s="48" t="s">
        <v>67</v>
      </c>
      <c r="F41" s="47" t="s">
        <v>94</v>
      </c>
      <c r="G41" s="47" t="n">
        <v>13</v>
      </c>
      <c r="H41" s="49" t="s">
        <v>12</v>
      </c>
    </row>
    <row r="42" customFormat="false" ht="15" hidden="false" customHeight="false" outlineLevel="0" collapsed="false">
      <c r="B42" s="47" t="s">
        <v>22</v>
      </c>
      <c r="C42" s="47" t="s">
        <v>161</v>
      </c>
      <c r="D42" s="47" t="s">
        <v>160</v>
      </c>
      <c r="E42" s="48" t="s">
        <v>67</v>
      </c>
      <c r="F42" s="47" t="s">
        <v>88</v>
      </c>
      <c r="G42" s="47" t="n">
        <v>21</v>
      </c>
      <c r="H42" s="49" t="s">
        <v>12</v>
      </c>
    </row>
    <row r="43" customFormat="false" ht="15" hidden="false" customHeight="false" outlineLevel="0" collapsed="false">
      <c r="B43" s="47" t="s">
        <v>22</v>
      </c>
      <c r="C43" s="47" t="s">
        <v>170</v>
      </c>
      <c r="D43" s="47" t="s">
        <v>169</v>
      </c>
      <c r="E43" s="48" t="s">
        <v>67</v>
      </c>
      <c r="F43" s="47" t="s">
        <v>88</v>
      </c>
      <c r="G43" s="47" t="n">
        <v>13</v>
      </c>
      <c r="H43" s="49" t="s">
        <v>12</v>
      </c>
    </row>
    <row r="44" customFormat="false" ht="15" hidden="false" customHeight="false" outlineLevel="0" collapsed="false">
      <c r="B44" s="47" t="s">
        <v>22</v>
      </c>
      <c r="C44" s="47" t="s">
        <v>130</v>
      </c>
      <c r="D44" s="47" t="s">
        <v>129</v>
      </c>
      <c r="E44" s="50" t="s">
        <v>68</v>
      </c>
      <c r="F44" s="47" t="s">
        <v>109</v>
      </c>
      <c r="G44" s="47" t="n">
        <v>5</v>
      </c>
      <c r="H44" s="49" t="s">
        <v>12</v>
      </c>
    </row>
    <row r="45" customFormat="false" ht="15" hidden="false" customHeight="false" outlineLevel="0" collapsed="false">
      <c r="B45" s="47" t="s">
        <v>22</v>
      </c>
      <c r="C45" s="47" t="s">
        <v>339</v>
      </c>
      <c r="D45" s="47" t="s">
        <v>338</v>
      </c>
      <c r="E45" s="48" t="s">
        <v>67</v>
      </c>
      <c r="F45" s="47" t="s">
        <v>94</v>
      </c>
      <c r="G45" s="47" t="n">
        <v>8</v>
      </c>
      <c r="H45" s="49" t="s">
        <v>12</v>
      </c>
    </row>
    <row r="46" customFormat="false" ht="15" hidden="false" customHeight="false" outlineLevel="0" collapsed="false">
      <c r="B46" s="47" t="s">
        <v>22</v>
      </c>
      <c r="C46" s="47" t="s">
        <v>485</v>
      </c>
      <c r="D46" s="47" t="s">
        <v>484</v>
      </c>
      <c r="E46" s="48" t="s">
        <v>67</v>
      </c>
      <c r="F46" s="47" t="s">
        <v>94</v>
      </c>
      <c r="G46" s="47" t="n">
        <v>8</v>
      </c>
      <c r="H46" s="49" t="s">
        <v>12</v>
      </c>
    </row>
    <row r="47" customFormat="false" ht="15" hidden="false" customHeight="false" outlineLevel="0" collapsed="false">
      <c r="B47" s="20" t="s">
        <v>22</v>
      </c>
      <c r="C47" s="20" t="s">
        <v>192</v>
      </c>
      <c r="D47" s="20" t="s">
        <v>191</v>
      </c>
      <c r="E47" s="51" t="s">
        <v>67</v>
      </c>
      <c r="F47" s="20" t="s">
        <v>109</v>
      </c>
      <c r="G47" s="20" t="n">
        <v>5</v>
      </c>
      <c r="H47" s="22" t="s">
        <v>13</v>
      </c>
    </row>
    <row r="48" customFormat="false" ht="15" hidden="false" customHeight="false" outlineLevel="0" collapsed="false">
      <c r="B48" s="47" t="s">
        <v>22</v>
      </c>
      <c r="C48" s="47" t="s">
        <v>356</v>
      </c>
      <c r="D48" s="47" t="s">
        <v>355</v>
      </c>
      <c r="E48" s="48" t="s">
        <v>67</v>
      </c>
      <c r="F48" s="47" t="s">
        <v>94</v>
      </c>
      <c r="G48" s="47" t="n">
        <v>5</v>
      </c>
      <c r="H48" s="49" t="s">
        <v>12</v>
      </c>
    </row>
    <row r="49" customFormat="false" ht="15" hidden="false" customHeight="false" outlineLevel="0" collapsed="false">
      <c r="B49" s="20" t="s">
        <v>22</v>
      </c>
      <c r="C49" s="20" t="s">
        <v>102</v>
      </c>
      <c r="D49" s="20" t="s">
        <v>101</v>
      </c>
      <c r="E49" s="52" t="s">
        <v>68</v>
      </c>
      <c r="F49" s="20" t="s">
        <v>88</v>
      </c>
      <c r="G49" s="20" t="n">
        <v>8</v>
      </c>
      <c r="H49" s="22" t="s">
        <v>13</v>
      </c>
    </row>
    <row r="50" customFormat="false" ht="15" hidden="false" customHeight="false" outlineLevel="0" collapsed="false">
      <c r="B50" s="20" t="s">
        <v>27</v>
      </c>
      <c r="C50" s="20" t="s">
        <v>285</v>
      </c>
      <c r="D50" s="20" t="s">
        <v>284</v>
      </c>
      <c r="E50" s="51" t="s">
        <v>67</v>
      </c>
      <c r="F50" s="20" t="s">
        <v>88</v>
      </c>
      <c r="G50" s="20" t="n">
        <v>13</v>
      </c>
      <c r="H50" s="22" t="s">
        <v>13</v>
      </c>
    </row>
    <row r="51" customFormat="false" ht="15" hidden="false" customHeight="false" outlineLevel="0" collapsed="false">
      <c r="B51" s="20" t="s">
        <v>27</v>
      </c>
      <c r="C51" s="20" t="s">
        <v>289</v>
      </c>
      <c r="D51" s="20" t="s">
        <v>288</v>
      </c>
      <c r="E51" s="51" t="s">
        <v>67</v>
      </c>
      <c r="F51" s="20" t="s">
        <v>88</v>
      </c>
      <c r="G51" s="20" t="n">
        <v>21</v>
      </c>
      <c r="H51" s="22" t="s">
        <v>13</v>
      </c>
    </row>
    <row r="52" customFormat="false" ht="15" hidden="false" customHeight="false" outlineLevel="0" collapsed="false">
      <c r="B52" s="20" t="s">
        <v>27</v>
      </c>
      <c r="C52" s="20" t="s">
        <v>306</v>
      </c>
      <c r="D52" s="20" t="s">
        <v>305</v>
      </c>
      <c r="E52" s="51" t="s">
        <v>67</v>
      </c>
      <c r="F52" s="20" t="s">
        <v>94</v>
      </c>
      <c r="G52" s="20" t="n">
        <v>5</v>
      </c>
      <c r="H52" s="22" t="s">
        <v>13</v>
      </c>
    </row>
    <row r="53" customFormat="false" ht="15" hidden="false" customHeight="false" outlineLevel="0" collapsed="false">
      <c r="B53" s="20" t="s">
        <v>27</v>
      </c>
      <c r="C53" s="20" t="s">
        <v>323</v>
      </c>
      <c r="D53" s="20" t="s">
        <v>322</v>
      </c>
      <c r="E53" s="51" t="s">
        <v>67</v>
      </c>
      <c r="F53" s="20" t="s">
        <v>109</v>
      </c>
      <c r="G53" s="20" t="n">
        <v>5</v>
      </c>
      <c r="H53" s="22" t="s">
        <v>13</v>
      </c>
    </row>
    <row r="54" customFormat="false" ht="15" hidden="false" customHeight="false" outlineLevel="0" collapsed="false">
      <c r="B54" s="20" t="s">
        <v>27</v>
      </c>
      <c r="C54" s="20" t="s">
        <v>510</v>
      </c>
      <c r="D54" s="20" t="s">
        <v>509</v>
      </c>
      <c r="E54" s="51" t="s">
        <v>67</v>
      </c>
      <c r="F54" s="20" t="s">
        <v>94</v>
      </c>
      <c r="G54" s="20" t="n">
        <v>8</v>
      </c>
      <c r="H54" s="22" t="s">
        <v>13</v>
      </c>
    </row>
    <row r="55" customFormat="false" ht="15" hidden="false" customHeight="false" outlineLevel="0" collapsed="false">
      <c r="B55" s="20" t="s">
        <v>27</v>
      </c>
      <c r="C55" s="20" t="s">
        <v>438</v>
      </c>
      <c r="D55" s="20" t="s">
        <v>437</v>
      </c>
      <c r="E55" s="51" t="s">
        <v>67</v>
      </c>
      <c r="F55" s="20" t="s">
        <v>94</v>
      </c>
      <c r="G55" s="20" t="n">
        <v>8</v>
      </c>
      <c r="H55" s="22" t="s">
        <v>13</v>
      </c>
    </row>
    <row r="56" customFormat="false" ht="15" hidden="false" customHeight="false" outlineLevel="0" collapsed="false">
      <c r="B56" s="20" t="s">
        <v>27</v>
      </c>
      <c r="C56" s="20" t="s">
        <v>298</v>
      </c>
      <c r="D56" s="20" t="s">
        <v>297</v>
      </c>
      <c r="E56" s="52" t="s">
        <v>68</v>
      </c>
      <c r="F56" s="20" t="s">
        <v>94</v>
      </c>
      <c r="G56" s="20" t="n">
        <v>13</v>
      </c>
      <c r="H56" s="22" t="s">
        <v>13</v>
      </c>
    </row>
    <row r="57" customFormat="false" ht="15" hidden="false" customHeight="false" outlineLevel="0" collapsed="false">
      <c r="B57" s="47" t="s">
        <v>27</v>
      </c>
      <c r="C57" s="47" t="s">
        <v>596</v>
      </c>
      <c r="D57" s="47" t="s">
        <v>595</v>
      </c>
      <c r="E57" s="48" t="s">
        <v>67</v>
      </c>
      <c r="F57" s="47" t="s">
        <v>94</v>
      </c>
      <c r="G57" s="47" t="n">
        <v>8</v>
      </c>
      <c r="H57" s="49" t="s">
        <v>12</v>
      </c>
    </row>
    <row r="58" customFormat="false" ht="15" hidden="false" customHeight="false" outlineLevel="0" collapsed="false">
      <c r="B58" s="20" t="s">
        <v>27</v>
      </c>
      <c r="C58" s="20" t="s">
        <v>600</v>
      </c>
      <c r="D58" s="20" t="s">
        <v>599</v>
      </c>
      <c r="E58" s="52" t="s">
        <v>68</v>
      </c>
      <c r="F58" s="20" t="s">
        <v>94</v>
      </c>
      <c r="G58" s="20" t="n">
        <v>8</v>
      </c>
      <c r="H58" s="22" t="s">
        <v>13</v>
      </c>
    </row>
    <row r="59" customFormat="false" ht="15" hidden="false" customHeight="false" outlineLevel="0" collapsed="false">
      <c r="B59" s="20" t="s">
        <v>31</v>
      </c>
      <c r="C59" s="20" t="s">
        <v>293</v>
      </c>
      <c r="D59" s="20" t="s">
        <v>292</v>
      </c>
      <c r="E59" s="51" t="s">
        <v>67</v>
      </c>
      <c r="F59" s="20" t="s">
        <v>88</v>
      </c>
      <c r="G59" s="20" t="n">
        <v>13</v>
      </c>
      <c r="H59" s="22" t="s">
        <v>13</v>
      </c>
    </row>
    <row r="60" customFormat="false" ht="15" hidden="false" customHeight="false" outlineLevel="0" collapsed="false">
      <c r="B60" s="20" t="s">
        <v>31</v>
      </c>
      <c r="C60" s="20" t="s">
        <v>310</v>
      </c>
      <c r="D60" s="20" t="s">
        <v>309</v>
      </c>
      <c r="E60" s="51" t="s">
        <v>67</v>
      </c>
      <c r="F60" s="20" t="s">
        <v>88</v>
      </c>
      <c r="G60" s="20" t="n">
        <v>13</v>
      </c>
      <c r="H60" s="22" t="s">
        <v>13</v>
      </c>
    </row>
    <row r="61" customFormat="false" ht="15" hidden="false" customHeight="false" outlineLevel="0" collapsed="false">
      <c r="B61" s="20" t="s">
        <v>31</v>
      </c>
      <c r="C61" s="20" t="s">
        <v>315</v>
      </c>
      <c r="D61" s="20" t="s">
        <v>314</v>
      </c>
      <c r="E61" s="51" t="s">
        <v>67</v>
      </c>
      <c r="F61" s="20" t="s">
        <v>88</v>
      </c>
      <c r="G61" s="20" t="n">
        <v>8</v>
      </c>
      <c r="H61" s="22" t="s">
        <v>13</v>
      </c>
    </row>
    <row r="62" customFormat="false" ht="15" hidden="false" customHeight="false" outlineLevel="0" collapsed="false">
      <c r="B62" s="20" t="s">
        <v>31</v>
      </c>
      <c r="C62" s="20" t="s">
        <v>319</v>
      </c>
      <c r="D62" s="20" t="s">
        <v>318</v>
      </c>
      <c r="E62" s="51" t="s">
        <v>67</v>
      </c>
      <c r="F62" s="20" t="s">
        <v>94</v>
      </c>
      <c r="G62" s="20" t="n">
        <v>5</v>
      </c>
      <c r="H62" s="22" t="s">
        <v>13</v>
      </c>
    </row>
    <row r="63" customFormat="false" ht="15" hidden="false" customHeight="false" outlineLevel="0" collapsed="false">
      <c r="B63" s="20" t="s">
        <v>31</v>
      </c>
      <c r="C63" s="20" t="s">
        <v>559</v>
      </c>
      <c r="D63" s="20" t="s">
        <v>558</v>
      </c>
      <c r="E63" s="51" t="s">
        <v>67</v>
      </c>
      <c r="F63" s="20" t="s">
        <v>94</v>
      </c>
      <c r="G63" s="20" t="n">
        <v>8</v>
      </c>
      <c r="H63" s="22" t="s">
        <v>13</v>
      </c>
    </row>
    <row r="64" customFormat="false" ht="15" hidden="false" customHeight="false" outlineLevel="0" collapsed="false">
      <c r="B64" s="20" t="s">
        <v>31</v>
      </c>
      <c r="C64" s="20" t="s">
        <v>563</v>
      </c>
      <c r="D64" s="20" t="s">
        <v>562</v>
      </c>
      <c r="E64" s="51" t="s">
        <v>67</v>
      </c>
      <c r="F64" s="20" t="s">
        <v>109</v>
      </c>
      <c r="G64" s="20" t="n">
        <v>5</v>
      </c>
      <c r="H64" s="22" t="s">
        <v>13</v>
      </c>
    </row>
    <row r="65" customFormat="false" ht="15" hidden="false" customHeight="false" outlineLevel="0" collapsed="false">
      <c r="B65" s="20" t="s">
        <v>31</v>
      </c>
      <c r="C65" s="20" t="s">
        <v>567</v>
      </c>
      <c r="D65" s="20" t="s">
        <v>566</v>
      </c>
      <c r="E65" s="51" t="s">
        <v>67</v>
      </c>
      <c r="F65" s="20" t="s">
        <v>94</v>
      </c>
      <c r="G65" s="20" t="n">
        <v>8</v>
      </c>
      <c r="H65" s="22" t="s">
        <v>13</v>
      </c>
    </row>
    <row r="66" customFormat="false" ht="15" hidden="false" customHeight="false" outlineLevel="0" collapsed="false">
      <c r="B66" s="20" t="s">
        <v>31</v>
      </c>
      <c r="C66" s="20" t="s">
        <v>571</v>
      </c>
      <c r="D66" s="20" t="s">
        <v>570</v>
      </c>
      <c r="E66" s="51" t="s">
        <v>67</v>
      </c>
      <c r="F66" s="20" t="s">
        <v>94</v>
      </c>
      <c r="G66" s="20" t="n">
        <v>8</v>
      </c>
      <c r="H66" s="22" t="s">
        <v>13</v>
      </c>
    </row>
    <row r="67" customFormat="false" ht="15" hidden="false" customHeight="false" outlineLevel="0" collapsed="false">
      <c r="B67" s="20" t="s">
        <v>31</v>
      </c>
      <c r="C67" s="20" t="s">
        <v>188</v>
      </c>
      <c r="D67" s="20" t="s">
        <v>187</v>
      </c>
      <c r="E67" s="51" t="s">
        <v>67</v>
      </c>
      <c r="F67" s="20" t="s">
        <v>94</v>
      </c>
      <c r="G67" s="20" t="n">
        <v>8</v>
      </c>
      <c r="H67" s="22" t="s">
        <v>13</v>
      </c>
    </row>
    <row r="68" customFormat="false" ht="15" hidden="false" customHeight="false" outlineLevel="0" collapsed="false">
      <c r="B68" s="20" t="s">
        <v>31</v>
      </c>
      <c r="C68" s="20" t="s">
        <v>197</v>
      </c>
      <c r="D68" s="20" t="s">
        <v>196</v>
      </c>
      <c r="E68" s="51" t="s">
        <v>67</v>
      </c>
      <c r="F68" s="20" t="s">
        <v>94</v>
      </c>
      <c r="G68" s="20" t="n">
        <v>8</v>
      </c>
      <c r="H68" s="22" t="s">
        <v>13</v>
      </c>
    </row>
    <row r="69" customFormat="false" ht="15" hidden="false" customHeight="false" outlineLevel="0" collapsed="false">
      <c r="B69" s="20" t="s">
        <v>31</v>
      </c>
      <c r="C69" s="20" t="s">
        <v>175</v>
      </c>
      <c r="D69" s="20" t="s">
        <v>174</v>
      </c>
      <c r="E69" s="52" t="s">
        <v>68</v>
      </c>
      <c r="F69" s="20" t="s">
        <v>94</v>
      </c>
      <c r="G69" s="20" t="n">
        <v>8</v>
      </c>
      <c r="H69" s="22" t="s">
        <v>13</v>
      </c>
    </row>
    <row r="70" customFormat="false" ht="15" hidden="false" customHeight="false" outlineLevel="0" collapsed="false">
      <c r="B70" s="20" t="s">
        <v>31</v>
      </c>
      <c r="C70" s="20" t="s">
        <v>179</v>
      </c>
      <c r="D70" s="20" t="s">
        <v>178</v>
      </c>
      <c r="E70" s="52" t="s">
        <v>68</v>
      </c>
      <c r="F70" s="20" t="s">
        <v>94</v>
      </c>
      <c r="G70" s="20" t="n">
        <v>8</v>
      </c>
      <c r="H70" s="22" t="s">
        <v>13</v>
      </c>
    </row>
    <row r="71" customFormat="false" ht="15" hidden="false" customHeight="false" outlineLevel="0" collapsed="false">
      <c r="B71" s="20" t="s">
        <v>35</v>
      </c>
      <c r="C71" s="20" t="s">
        <v>204</v>
      </c>
      <c r="D71" s="20" t="s">
        <v>203</v>
      </c>
      <c r="E71" s="51" t="s">
        <v>67</v>
      </c>
      <c r="F71" s="20" t="s">
        <v>88</v>
      </c>
      <c r="G71" s="20" t="n">
        <v>21</v>
      </c>
      <c r="H71" s="22" t="s">
        <v>13</v>
      </c>
    </row>
    <row r="72" customFormat="false" ht="15" hidden="false" customHeight="false" outlineLevel="0" collapsed="false">
      <c r="B72" s="20" t="s">
        <v>35</v>
      </c>
      <c r="C72" s="20" t="s">
        <v>209</v>
      </c>
      <c r="D72" s="20" t="s">
        <v>208</v>
      </c>
      <c r="E72" s="51" t="s">
        <v>67</v>
      </c>
      <c r="F72" s="20" t="s">
        <v>88</v>
      </c>
      <c r="G72" s="20" t="n">
        <v>13</v>
      </c>
      <c r="H72" s="22" t="s">
        <v>13</v>
      </c>
    </row>
    <row r="73" customFormat="false" ht="15" hidden="false" customHeight="false" outlineLevel="0" collapsed="false">
      <c r="B73" s="20" t="s">
        <v>35</v>
      </c>
      <c r="C73" s="20" t="s">
        <v>214</v>
      </c>
      <c r="D73" s="20" t="s">
        <v>213</v>
      </c>
      <c r="E73" s="51" t="s">
        <v>67</v>
      </c>
      <c r="F73" s="20" t="s">
        <v>94</v>
      </c>
      <c r="G73" s="20" t="n">
        <v>13</v>
      </c>
      <c r="H73" s="22" t="s">
        <v>13</v>
      </c>
    </row>
    <row r="74" customFormat="false" ht="15" hidden="false" customHeight="false" outlineLevel="0" collapsed="false">
      <c r="B74" s="20" t="s">
        <v>35</v>
      </c>
      <c r="C74" s="20" t="s">
        <v>334</v>
      </c>
      <c r="D74" s="20" t="s">
        <v>333</v>
      </c>
      <c r="E74" s="51" t="s">
        <v>67</v>
      </c>
      <c r="F74" s="20" t="s">
        <v>88</v>
      </c>
      <c r="G74" s="20" t="n">
        <v>21</v>
      </c>
      <c r="H74" s="22" t="s">
        <v>13</v>
      </c>
    </row>
    <row r="75" customFormat="false" ht="15" hidden="false" customHeight="false" outlineLevel="0" collapsed="false">
      <c r="B75" s="20" t="s">
        <v>35</v>
      </c>
      <c r="C75" s="20" t="s">
        <v>360</v>
      </c>
      <c r="D75" s="20" t="s">
        <v>359</v>
      </c>
      <c r="E75" s="51" t="s">
        <v>67</v>
      </c>
      <c r="F75" s="20" t="s">
        <v>94</v>
      </c>
      <c r="G75" s="20" t="n">
        <v>8</v>
      </c>
      <c r="H75" s="22" t="s">
        <v>13</v>
      </c>
    </row>
    <row r="76" customFormat="false" ht="15" hidden="false" customHeight="false" outlineLevel="0" collapsed="false">
      <c r="B76" s="20" t="s">
        <v>35</v>
      </c>
      <c r="C76" s="20" t="s">
        <v>108</v>
      </c>
      <c r="D76" s="20" t="s">
        <v>107</v>
      </c>
      <c r="E76" s="53" t="s">
        <v>69</v>
      </c>
      <c r="F76" s="20" t="s">
        <v>109</v>
      </c>
      <c r="G76" s="20" t="n">
        <v>5</v>
      </c>
      <c r="H76" s="22" t="s">
        <v>13</v>
      </c>
    </row>
    <row r="77" customFormat="false" ht="15" hidden="false" customHeight="false" outlineLevel="0" collapsed="false">
      <c r="B77" s="20" t="s">
        <v>39</v>
      </c>
      <c r="C77" s="20" t="s">
        <v>381</v>
      </c>
      <c r="D77" s="20" t="s">
        <v>380</v>
      </c>
      <c r="E77" s="51" t="s">
        <v>67</v>
      </c>
      <c r="F77" s="20" t="s">
        <v>94</v>
      </c>
      <c r="G77" s="20" t="n">
        <v>13</v>
      </c>
      <c r="H77" s="22" t="s">
        <v>13</v>
      </c>
    </row>
    <row r="78" customFormat="false" ht="15" hidden="false" customHeight="false" outlineLevel="0" collapsed="false">
      <c r="B78" s="20" t="s">
        <v>39</v>
      </c>
      <c r="C78" s="20" t="s">
        <v>385</v>
      </c>
      <c r="D78" s="20" t="s">
        <v>384</v>
      </c>
      <c r="E78" s="51" t="s">
        <v>67</v>
      </c>
      <c r="F78" s="20" t="s">
        <v>88</v>
      </c>
      <c r="G78" s="20" t="n">
        <v>13</v>
      </c>
      <c r="H78" s="22" t="s">
        <v>13</v>
      </c>
    </row>
    <row r="79" customFormat="false" ht="15" hidden="false" customHeight="false" outlineLevel="0" collapsed="false">
      <c r="B79" s="20" t="s">
        <v>39</v>
      </c>
      <c r="C79" s="20" t="s">
        <v>390</v>
      </c>
      <c r="D79" s="20" t="s">
        <v>389</v>
      </c>
      <c r="E79" s="51" t="s">
        <v>67</v>
      </c>
      <c r="F79" s="20" t="s">
        <v>109</v>
      </c>
      <c r="G79" s="20" t="n">
        <v>8</v>
      </c>
      <c r="H79" s="22" t="s">
        <v>13</v>
      </c>
    </row>
    <row r="80" customFormat="false" ht="15" hidden="false" customHeight="false" outlineLevel="0" collapsed="false">
      <c r="B80" s="20" t="s">
        <v>39</v>
      </c>
      <c r="C80" s="20" t="s">
        <v>394</v>
      </c>
      <c r="D80" s="20" t="s">
        <v>393</v>
      </c>
      <c r="E80" s="52" t="s">
        <v>68</v>
      </c>
      <c r="F80" s="20" t="s">
        <v>94</v>
      </c>
      <c r="G80" s="20" t="n">
        <v>8</v>
      </c>
      <c r="H80" s="22" t="s">
        <v>13</v>
      </c>
    </row>
    <row r="81" customFormat="false" ht="15" hidden="false" customHeight="false" outlineLevel="0" collapsed="false">
      <c r="B81" s="20" t="s">
        <v>39</v>
      </c>
      <c r="C81" s="20" t="s">
        <v>218</v>
      </c>
      <c r="D81" s="20" t="s">
        <v>217</v>
      </c>
      <c r="E81" s="51" t="s">
        <v>67</v>
      </c>
      <c r="F81" s="20" t="s">
        <v>94</v>
      </c>
      <c r="G81" s="20" t="n">
        <v>13</v>
      </c>
      <c r="H81" s="22" t="s">
        <v>13</v>
      </c>
    </row>
    <row r="82" customFormat="false" ht="15" hidden="false" customHeight="false" outlineLevel="0" collapsed="false">
      <c r="B82" s="20" t="s">
        <v>39</v>
      </c>
      <c r="C82" s="20" t="s">
        <v>223</v>
      </c>
      <c r="D82" s="20" t="s">
        <v>222</v>
      </c>
      <c r="E82" s="52" t="s">
        <v>68</v>
      </c>
      <c r="F82" s="20" t="s">
        <v>109</v>
      </c>
      <c r="G82" s="20" t="n">
        <v>5</v>
      </c>
      <c r="H82" s="22" t="s">
        <v>13</v>
      </c>
    </row>
    <row r="83" customFormat="false" ht="15" hidden="false" customHeight="false" outlineLevel="0" collapsed="false">
      <c r="B83" s="20" t="s">
        <v>39</v>
      </c>
      <c r="C83" s="20" t="s">
        <v>414</v>
      </c>
      <c r="D83" s="20" t="s">
        <v>413</v>
      </c>
      <c r="E83" s="51" t="s">
        <v>67</v>
      </c>
      <c r="F83" s="20" t="s">
        <v>94</v>
      </c>
      <c r="G83" s="20" t="n">
        <v>5</v>
      </c>
      <c r="H83" s="22" t="s">
        <v>13</v>
      </c>
    </row>
    <row r="84" customFormat="false" ht="15" hidden="false" customHeight="false" outlineLevel="0" collapsed="false">
      <c r="B84" s="20" t="s">
        <v>39</v>
      </c>
      <c r="C84" s="20" t="s">
        <v>418</v>
      </c>
      <c r="D84" s="20" t="s">
        <v>417</v>
      </c>
      <c r="E84" s="51" t="s">
        <v>67</v>
      </c>
      <c r="F84" s="20" t="s">
        <v>94</v>
      </c>
      <c r="G84" s="20" t="n">
        <v>8</v>
      </c>
      <c r="H84" s="22" t="s">
        <v>13</v>
      </c>
    </row>
    <row r="85" customFormat="false" ht="15" hidden="false" customHeight="false" outlineLevel="0" collapsed="false">
      <c r="B85" s="20" t="s">
        <v>39</v>
      </c>
      <c r="C85" s="20" t="s">
        <v>506</v>
      </c>
      <c r="D85" s="20" t="s">
        <v>505</v>
      </c>
      <c r="E85" s="51" t="s">
        <v>67</v>
      </c>
      <c r="F85" s="20" t="s">
        <v>88</v>
      </c>
      <c r="G85" s="20" t="n">
        <v>13</v>
      </c>
      <c r="H85" s="22" t="s">
        <v>13</v>
      </c>
    </row>
    <row r="86" customFormat="false" ht="15" hidden="false" customHeight="false" outlineLevel="0" collapsed="false">
      <c r="B86" s="47" t="s">
        <v>43</v>
      </c>
      <c r="C86" s="47" t="s">
        <v>229</v>
      </c>
      <c r="D86" s="47" t="s">
        <v>228</v>
      </c>
      <c r="E86" s="48" t="s">
        <v>67</v>
      </c>
      <c r="F86" s="47" t="s">
        <v>88</v>
      </c>
      <c r="G86" s="47" t="n">
        <v>8</v>
      </c>
      <c r="H86" s="49" t="s">
        <v>12</v>
      </c>
    </row>
    <row r="87" customFormat="false" ht="15" hidden="false" customHeight="false" outlineLevel="0" collapsed="false">
      <c r="B87" s="47" t="s">
        <v>43</v>
      </c>
      <c r="C87" s="47" t="s">
        <v>233</v>
      </c>
      <c r="D87" s="47" t="s">
        <v>232</v>
      </c>
      <c r="E87" s="48" t="s">
        <v>67</v>
      </c>
      <c r="F87" s="47" t="s">
        <v>88</v>
      </c>
      <c r="G87" s="47" t="n">
        <v>13</v>
      </c>
      <c r="H87" s="49" t="s">
        <v>12</v>
      </c>
    </row>
    <row r="88" customFormat="false" ht="15" hidden="false" customHeight="false" outlineLevel="0" collapsed="false">
      <c r="B88" s="20" t="s">
        <v>43</v>
      </c>
      <c r="C88" s="20" t="s">
        <v>237</v>
      </c>
      <c r="D88" s="20" t="s">
        <v>236</v>
      </c>
      <c r="E88" s="51" t="s">
        <v>67</v>
      </c>
      <c r="F88" s="20" t="s">
        <v>88</v>
      </c>
      <c r="G88" s="20" t="n">
        <v>13</v>
      </c>
      <c r="H88" s="22" t="s">
        <v>13</v>
      </c>
    </row>
    <row r="89" customFormat="false" ht="15" hidden="false" customHeight="false" outlineLevel="0" collapsed="false">
      <c r="B89" s="20" t="s">
        <v>43</v>
      </c>
      <c r="C89" s="20" t="s">
        <v>241</v>
      </c>
      <c r="D89" s="20" t="s">
        <v>240</v>
      </c>
      <c r="E89" s="51" t="s">
        <v>67</v>
      </c>
      <c r="F89" s="20" t="s">
        <v>94</v>
      </c>
      <c r="G89" s="20" t="n">
        <v>13</v>
      </c>
      <c r="H89" s="22" t="s">
        <v>13</v>
      </c>
    </row>
    <row r="90" customFormat="false" ht="15" hidden="false" customHeight="false" outlineLevel="0" collapsed="false">
      <c r="B90" s="20" t="s">
        <v>43</v>
      </c>
      <c r="C90" s="20" t="s">
        <v>245</v>
      </c>
      <c r="D90" s="20" t="s">
        <v>244</v>
      </c>
      <c r="E90" s="51" t="s">
        <v>67</v>
      </c>
      <c r="F90" s="20" t="s">
        <v>94</v>
      </c>
      <c r="G90" s="20" t="n">
        <v>8</v>
      </c>
      <c r="H90" s="22" t="s">
        <v>13</v>
      </c>
    </row>
    <row r="91" customFormat="false" ht="15" hidden="false" customHeight="false" outlineLevel="0" collapsed="false">
      <c r="B91" s="20" t="s">
        <v>43</v>
      </c>
      <c r="C91" s="20" t="s">
        <v>253</v>
      </c>
      <c r="D91" s="20" t="s">
        <v>252</v>
      </c>
      <c r="E91" s="51" t="s">
        <v>67</v>
      </c>
      <c r="F91" s="20" t="s">
        <v>94</v>
      </c>
      <c r="G91" s="20" t="n">
        <v>5</v>
      </c>
      <c r="H91" s="22" t="s">
        <v>13</v>
      </c>
    </row>
    <row r="92" customFormat="false" ht="15" hidden="false" customHeight="false" outlineLevel="0" collapsed="false">
      <c r="B92" s="20" t="s">
        <v>43</v>
      </c>
      <c r="C92" s="20" t="s">
        <v>257</v>
      </c>
      <c r="D92" s="20" t="s">
        <v>256</v>
      </c>
      <c r="E92" s="51" t="s">
        <v>67</v>
      </c>
      <c r="F92" s="20" t="s">
        <v>94</v>
      </c>
      <c r="G92" s="20" t="n">
        <v>5</v>
      </c>
      <c r="H92" s="22" t="s">
        <v>13</v>
      </c>
    </row>
    <row r="93" customFormat="false" ht="15" hidden="false" customHeight="false" outlineLevel="0" collapsed="false">
      <c r="B93" s="20" t="s">
        <v>43</v>
      </c>
      <c r="C93" s="20" t="s">
        <v>518</v>
      </c>
      <c r="D93" s="20" t="s">
        <v>517</v>
      </c>
      <c r="E93" s="51" t="s">
        <v>67</v>
      </c>
      <c r="F93" s="20" t="s">
        <v>94</v>
      </c>
      <c r="G93" s="20" t="n">
        <v>8</v>
      </c>
      <c r="H93" s="22" t="s">
        <v>13</v>
      </c>
    </row>
    <row r="94" customFormat="false" ht="15" hidden="false" customHeight="false" outlineLevel="0" collapsed="false">
      <c r="B94" s="20" t="s">
        <v>43</v>
      </c>
      <c r="C94" s="20" t="s">
        <v>496</v>
      </c>
      <c r="D94" s="20" t="s">
        <v>495</v>
      </c>
      <c r="E94" s="52" t="s">
        <v>68</v>
      </c>
      <c r="F94" s="20" t="s">
        <v>94</v>
      </c>
      <c r="G94" s="20" t="n">
        <v>8</v>
      </c>
      <c r="H94" s="22" t="s">
        <v>13</v>
      </c>
    </row>
    <row r="95" customFormat="false" ht="15" hidden="false" customHeight="false" outlineLevel="0" collapsed="false">
      <c r="B95" s="20" t="s">
        <v>43</v>
      </c>
      <c r="C95" s="20" t="s">
        <v>500</v>
      </c>
      <c r="D95" s="20" t="s">
        <v>499</v>
      </c>
      <c r="E95" s="52" t="s">
        <v>68</v>
      </c>
      <c r="F95" s="20" t="s">
        <v>109</v>
      </c>
      <c r="G95" s="20" t="n">
        <v>5</v>
      </c>
      <c r="H95" s="22" t="s">
        <v>13</v>
      </c>
    </row>
    <row r="96" customFormat="false" ht="15" hidden="false" customHeight="false" outlineLevel="0" collapsed="false">
      <c r="B96" s="20" t="s">
        <v>47</v>
      </c>
      <c r="C96" s="20" t="s">
        <v>619</v>
      </c>
      <c r="D96" s="20" t="s">
        <v>618</v>
      </c>
      <c r="E96" s="51" t="s">
        <v>67</v>
      </c>
      <c r="F96" s="20" t="s">
        <v>109</v>
      </c>
      <c r="G96" s="20" t="n">
        <v>5</v>
      </c>
      <c r="H96" s="22" t="s">
        <v>13</v>
      </c>
    </row>
    <row r="97" customFormat="false" ht="15" hidden="false" customHeight="false" outlineLevel="0" collapsed="false">
      <c r="B97" s="20" t="s">
        <v>47</v>
      </c>
      <c r="C97" s="20" t="s">
        <v>623</v>
      </c>
      <c r="D97" s="20" t="s">
        <v>622</v>
      </c>
      <c r="E97" s="51" t="s">
        <v>67</v>
      </c>
      <c r="F97" s="20" t="s">
        <v>88</v>
      </c>
      <c r="G97" s="20" t="n">
        <v>13</v>
      </c>
      <c r="H97" s="22" t="s">
        <v>13</v>
      </c>
    </row>
    <row r="98" customFormat="false" ht="15" hidden="false" customHeight="false" outlineLevel="0" collapsed="false">
      <c r="B98" s="20" t="s">
        <v>47</v>
      </c>
      <c r="C98" s="20" t="s">
        <v>347</v>
      </c>
      <c r="D98" s="20" t="s">
        <v>346</v>
      </c>
      <c r="E98" s="51" t="s">
        <v>67</v>
      </c>
      <c r="F98" s="20" t="s">
        <v>88</v>
      </c>
      <c r="G98" s="20" t="n">
        <v>21</v>
      </c>
      <c r="H98" s="22" t="s">
        <v>13</v>
      </c>
    </row>
    <row r="99" customFormat="false" ht="15" hidden="false" customHeight="false" outlineLevel="0" collapsed="false">
      <c r="B99" s="20" t="s">
        <v>47</v>
      </c>
      <c r="C99" s="20" t="s">
        <v>352</v>
      </c>
      <c r="D99" s="20" t="s">
        <v>351</v>
      </c>
      <c r="E99" s="51" t="s">
        <v>67</v>
      </c>
      <c r="F99" s="20" t="s">
        <v>94</v>
      </c>
      <c r="G99" s="20" t="n">
        <v>8</v>
      </c>
      <c r="H99" s="22" t="s">
        <v>13</v>
      </c>
    </row>
    <row r="100" customFormat="false" ht="15" hidden="false" customHeight="false" outlineLevel="0" collapsed="false">
      <c r="B100" s="20" t="s">
        <v>47</v>
      </c>
      <c r="C100" s="20" t="s">
        <v>343</v>
      </c>
      <c r="D100" s="20" t="s">
        <v>342</v>
      </c>
      <c r="E100" s="52" t="s">
        <v>68</v>
      </c>
      <c r="F100" s="20" t="s">
        <v>109</v>
      </c>
      <c r="G100" s="20" t="n">
        <v>5</v>
      </c>
      <c r="H100" s="22" t="s">
        <v>13</v>
      </c>
    </row>
    <row r="101" customFormat="false" ht="15" hidden="false" customHeight="false" outlineLevel="0" collapsed="false">
      <c r="B101" s="20" t="s">
        <v>47</v>
      </c>
      <c r="C101" s="20" t="s">
        <v>271</v>
      </c>
      <c r="D101" s="20" t="s">
        <v>270</v>
      </c>
      <c r="E101" s="51" t="s">
        <v>67</v>
      </c>
      <c r="F101" s="20" t="s">
        <v>94</v>
      </c>
      <c r="G101" s="20" t="n">
        <v>8</v>
      </c>
      <c r="H101" s="22" t="s">
        <v>13</v>
      </c>
    </row>
    <row r="102" customFormat="false" ht="15" hidden="false" customHeight="false" outlineLevel="0" collapsed="false">
      <c r="B102" s="20" t="s">
        <v>47</v>
      </c>
      <c r="C102" s="20" t="s">
        <v>279</v>
      </c>
      <c r="D102" s="20" t="s">
        <v>278</v>
      </c>
      <c r="E102" s="51" t="s">
        <v>67</v>
      </c>
      <c r="F102" s="20" t="s">
        <v>94</v>
      </c>
      <c r="G102" s="20" t="n">
        <v>13</v>
      </c>
      <c r="H102" s="22" t="s">
        <v>13</v>
      </c>
    </row>
    <row r="103" customFormat="false" ht="15" hidden="false" customHeight="false" outlineLevel="0" collapsed="false">
      <c r="B103" s="20" t="s">
        <v>47</v>
      </c>
      <c r="C103" s="20" t="s">
        <v>135</v>
      </c>
      <c r="D103" s="20" t="s">
        <v>134</v>
      </c>
      <c r="E103" s="53" t="s">
        <v>69</v>
      </c>
      <c r="F103" s="20" t="s">
        <v>94</v>
      </c>
      <c r="G103" s="20" t="n">
        <v>8</v>
      </c>
      <c r="H103" s="22" t="s">
        <v>13</v>
      </c>
    </row>
    <row r="104" customFormat="false" ht="15" hidden="false" customHeight="false" outlineLevel="0" collapsed="false">
      <c r="B104" s="20" t="s">
        <v>51</v>
      </c>
      <c r="C104" s="20" t="s">
        <v>442</v>
      </c>
      <c r="D104" s="20" t="s">
        <v>441</v>
      </c>
      <c r="E104" s="51" t="s">
        <v>67</v>
      </c>
      <c r="F104" s="20" t="s">
        <v>88</v>
      </c>
      <c r="G104" s="20" t="n">
        <v>13</v>
      </c>
      <c r="H104" s="22" t="s">
        <v>13</v>
      </c>
    </row>
    <row r="105" customFormat="false" ht="15" hidden="false" customHeight="false" outlineLevel="0" collapsed="false">
      <c r="B105" s="20" t="s">
        <v>51</v>
      </c>
      <c r="C105" s="20" t="s">
        <v>447</v>
      </c>
      <c r="D105" s="20" t="s">
        <v>446</v>
      </c>
      <c r="E105" s="51" t="s">
        <v>67</v>
      </c>
      <c r="F105" s="20" t="s">
        <v>94</v>
      </c>
      <c r="G105" s="20" t="n">
        <v>8</v>
      </c>
      <c r="H105" s="22" t="s">
        <v>13</v>
      </c>
    </row>
    <row r="106" customFormat="false" ht="15" hidden="false" customHeight="false" outlineLevel="0" collapsed="false">
      <c r="B106" s="20" t="s">
        <v>51</v>
      </c>
      <c r="C106" s="20" t="s">
        <v>457</v>
      </c>
      <c r="D106" s="20" t="s">
        <v>456</v>
      </c>
      <c r="E106" s="51" t="s">
        <v>67</v>
      </c>
      <c r="F106" s="20" t="s">
        <v>94</v>
      </c>
      <c r="G106" s="20" t="n">
        <v>8</v>
      </c>
      <c r="H106" s="22" t="s">
        <v>13</v>
      </c>
    </row>
    <row r="107" customFormat="false" ht="15" hidden="false" customHeight="false" outlineLevel="0" collapsed="false">
      <c r="B107" s="20" t="s">
        <v>51</v>
      </c>
      <c r="C107" s="20" t="s">
        <v>466</v>
      </c>
      <c r="D107" s="20" t="s">
        <v>465</v>
      </c>
      <c r="E107" s="51" t="s">
        <v>67</v>
      </c>
      <c r="F107" s="20" t="s">
        <v>94</v>
      </c>
      <c r="G107" s="20" t="n">
        <v>8</v>
      </c>
      <c r="H107" s="22" t="s">
        <v>13</v>
      </c>
    </row>
    <row r="108" customFormat="false" ht="15" hidden="false" customHeight="false" outlineLevel="0" collapsed="false">
      <c r="B108" s="20" t="s">
        <v>51</v>
      </c>
      <c r="C108" s="20" t="s">
        <v>470</v>
      </c>
      <c r="D108" s="20" t="s">
        <v>469</v>
      </c>
      <c r="E108" s="51" t="s">
        <v>67</v>
      </c>
      <c r="F108" s="20" t="s">
        <v>94</v>
      </c>
      <c r="G108" s="20" t="n">
        <v>5</v>
      </c>
      <c r="H108" s="22" t="s">
        <v>13</v>
      </c>
    </row>
    <row r="109" customFormat="false" ht="15" hidden="false" customHeight="false" outlineLevel="0" collapsed="false">
      <c r="B109" s="20" t="s">
        <v>51</v>
      </c>
      <c r="C109" s="20" t="s">
        <v>528</v>
      </c>
      <c r="D109" s="20" t="s">
        <v>527</v>
      </c>
      <c r="E109" s="52" t="s">
        <v>68</v>
      </c>
      <c r="F109" s="20" t="s">
        <v>94</v>
      </c>
      <c r="G109" s="20" t="n">
        <v>13</v>
      </c>
      <c r="H109" s="22" t="s">
        <v>13</v>
      </c>
    </row>
    <row r="110" customFormat="false" ht="15" hidden="false" customHeight="false" outlineLevel="0" collapsed="false">
      <c r="B110" s="20" t="s">
        <v>51</v>
      </c>
      <c r="C110" s="20" t="s">
        <v>532</v>
      </c>
      <c r="D110" s="20" t="s">
        <v>531</v>
      </c>
      <c r="E110" s="52" t="s">
        <v>68</v>
      </c>
      <c r="F110" s="20" t="s">
        <v>109</v>
      </c>
      <c r="G110" s="20" t="n">
        <v>8</v>
      </c>
      <c r="H110" s="22" t="s">
        <v>13</v>
      </c>
    </row>
    <row r="111" customFormat="false" ht="15" hidden="false" customHeight="false" outlineLevel="0" collapsed="false">
      <c r="B111" s="20" t="s">
        <v>51</v>
      </c>
      <c r="C111" s="20" t="s">
        <v>537</v>
      </c>
      <c r="D111" s="20" t="s">
        <v>536</v>
      </c>
      <c r="E111" s="52" t="s">
        <v>68</v>
      </c>
      <c r="F111" s="20" t="s">
        <v>109</v>
      </c>
      <c r="G111" s="20" t="n">
        <v>8</v>
      </c>
      <c r="H111" s="22" t="s">
        <v>13</v>
      </c>
    </row>
    <row r="112" customFormat="false" ht="15" hidden="false" customHeight="false" outlineLevel="0" collapsed="false">
      <c r="B112" s="20" t="s">
        <v>51</v>
      </c>
      <c r="C112" s="20" t="s">
        <v>542</v>
      </c>
      <c r="D112" s="20" t="s">
        <v>541</v>
      </c>
      <c r="E112" s="52" t="s">
        <v>68</v>
      </c>
      <c r="F112" s="20" t="s">
        <v>109</v>
      </c>
      <c r="G112" s="20" t="n">
        <v>5</v>
      </c>
      <c r="H112" s="22" t="s">
        <v>13</v>
      </c>
    </row>
    <row r="113" customFormat="false" ht="15" hidden="false" customHeight="false" outlineLevel="0" collapsed="false">
      <c r="B113" s="47" t="s">
        <v>51</v>
      </c>
      <c r="C113" s="47" t="s">
        <v>121</v>
      </c>
      <c r="D113" s="47" t="s">
        <v>120</v>
      </c>
      <c r="E113" s="48" t="s">
        <v>67</v>
      </c>
      <c r="F113" s="47" t="s">
        <v>94</v>
      </c>
      <c r="G113" s="47" t="n">
        <v>13</v>
      </c>
      <c r="H113" s="49" t="s">
        <v>12</v>
      </c>
    </row>
    <row r="114" customFormat="false" ht="15" hidden="false" customHeight="false" outlineLevel="0" collapsed="false">
      <c r="B114" s="20" t="s">
        <v>51</v>
      </c>
      <c r="C114" s="20" t="s">
        <v>522</v>
      </c>
      <c r="D114" s="20" t="s">
        <v>521</v>
      </c>
      <c r="E114" s="52" t="s">
        <v>68</v>
      </c>
      <c r="F114" s="20" t="s">
        <v>94</v>
      </c>
      <c r="G114" s="20" t="n">
        <v>13</v>
      </c>
      <c r="H114" s="22" t="s">
        <v>13</v>
      </c>
    </row>
    <row r="115" customFormat="false" ht="15" hidden="false" customHeight="false" outlineLevel="0" collapsed="false">
      <c r="B115" s="20" t="s">
        <v>55</v>
      </c>
      <c r="C115" s="20" t="s">
        <v>366</v>
      </c>
      <c r="D115" s="20" t="s">
        <v>365</v>
      </c>
      <c r="E115" s="51" t="s">
        <v>67</v>
      </c>
      <c r="F115" s="20" t="s">
        <v>88</v>
      </c>
      <c r="G115" s="20" t="n">
        <v>13</v>
      </c>
      <c r="H115" s="22" t="s">
        <v>13</v>
      </c>
    </row>
    <row r="116" customFormat="false" ht="15" hidden="false" customHeight="false" outlineLevel="0" collapsed="false">
      <c r="B116" s="20" t="s">
        <v>55</v>
      </c>
      <c r="C116" s="20" t="s">
        <v>371</v>
      </c>
      <c r="D116" s="20" t="s">
        <v>370</v>
      </c>
      <c r="E116" s="51" t="s">
        <v>67</v>
      </c>
      <c r="F116" s="20" t="s">
        <v>94</v>
      </c>
      <c r="G116" s="20" t="n">
        <v>13</v>
      </c>
      <c r="H116" s="22" t="s">
        <v>13</v>
      </c>
    </row>
    <row r="117" customFormat="false" ht="15" hidden="false" customHeight="false" outlineLevel="0" collapsed="false">
      <c r="B117" s="20" t="s">
        <v>55</v>
      </c>
      <c r="C117" s="20" t="s">
        <v>375</v>
      </c>
      <c r="D117" s="20" t="s">
        <v>374</v>
      </c>
      <c r="E117" s="52" t="s">
        <v>68</v>
      </c>
      <c r="F117" s="20" t="s">
        <v>94</v>
      </c>
      <c r="G117" s="20" t="n">
        <v>8</v>
      </c>
      <c r="H117" s="22" t="s">
        <v>13</v>
      </c>
    </row>
    <row r="118" customFormat="false" ht="15" hidden="false" customHeight="false" outlineLevel="0" collapsed="false">
      <c r="B118" s="20" t="s">
        <v>55</v>
      </c>
      <c r="C118" s="20" t="s">
        <v>628</v>
      </c>
      <c r="D118" s="20" t="s">
        <v>627</v>
      </c>
      <c r="E118" s="51" t="s">
        <v>67</v>
      </c>
      <c r="F118" s="20" t="s">
        <v>88</v>
      </c>
      <c r="G118" s="20" t="n">
        <v>13</v>
      </c>
      <c r="H118" s="22" t="s">
        <v>13</v>
      </c>
    </row>
    <row r="119" customFormat="false" ht="15" hidden="false" customHeight="false" outlineLevel="0" collapsed="false">
      <c r="B119" s="20" t="s">
        <v>55</v>
      </c>
      <c r="C119" s="20" t="s">
        <v>633</v>
      </c>
      <c r="D119" s="20" t="s">
        <v>632</v>
      </c>
      <c r="E119" s="51" t="s">
        <v>67</v>
      </c>
      <c r="F119" s="20" t="s">
        <v>94</v>
      </c>
      <c r="G119" s="20" t="n">
        <v>8</v>
      </c>
      <c r="H119" s="22" t="s">
        <v>13</v>
      </c>
    </row>
    <row r="120" customFormat="false" ht="15" hidden="false" customHeight="false" outlineLevel="0" collapsed="false">
      <c r="B120" s="20" t="s">
        <v>55</v>
      </c>
      <c r="C120" s="20" t="s">
        <v>637</v>
      </c>
      <c r="D120" s="20" t="s">
        <v>636</v>
      </c>
      <c r="E120" s="51" t="s">
        <v>67</v>
      </c>
      <c r="F120" s="20" t="s">
        <v>94</v>
      </c>
      <c r="G120" s="20" t="n">
        <v>8</v>
      </c>
      <c r="H120" s="22" t="s">
        <v>13</v>
      </c>
    </row>
    <row r="121" customFormat="false" ht="15" hidden="false" customHeight="false" outlineLevel="0" collapsed="false">
      <c r="B121" s="20" t="s">
        <v>55</v>
      </c>
      <c r="C121" s="20" t="s">
        <v>428</v>
      </c>
      <c r="D121" s="20" t="s">
        <v>427</v>
      </c>
      <c r="E121" s="52" t="s">
        <v>68</v>
      </c>
      <c r="F121" s="20" t="s">
        <v>94</v>
      </c>
      <c r="G121" s="20" t="n">
        <v>13</v>
      </c>
      <c r="H121" s="22" t="s">
        <v>13</v>
      </c>
    </row>
    <row r="122" customFormat="false" ht="15" hidden="false" customHeight="false" outlineLevel="0" collapsed="false">
      <c r="B122" s="20" t="s">
        <v>55</v>
      </c>
      <c r="C122" s="20" t="s">
        <v>432</v>
      </c>
      <c r="D122" s="20" t="s">
        <v>431</v>
      </c>
      <c r="E122" s="52" t="s">
        <v>68</v>
      </c>
      <c r="F122" s="20" t="s">
        <v>109</v>
      </c>
      <c r="G122" s="20" t="n">
        <v>8</v>
      </c>
      <c r="H122" s="22" t="s">
        <v>13</v>
      </c>
    </row>
    <row r="123" customFormat="false" ht="15" hidden="false" customHeight="false" outlineLevel="0" collapsed="false">
      <c r="B123" s="20" t="s">
        <v>55</v>
      </c>
      <c r="C123" s="20" t="s">
        <v>514</v>
      </c>
      <c r="D123" s="20" t="s">
        <v>513</v>
      </c>
      <c r="E123" s="51" t="s">
        <v>67</v>
      </c>
      <c r="F123" s="20" t="s">
        <v>88</v>
      </c>
      <c r="G123" s="20" t="n">
        <v>13</v>
      </c>
      <c r="H123" s="22" t="s">
        <v>13</v>
      </c>
    </row>
    <row r="124" customFormat="false" ht="15" hidden="false" customHeight="false" outlineLevel="0" collapsed="false">
      <c r="B124" s="20" t="s">
        <v>59</v>
      </c>
      <c r="C124" s="20" t="s">
        <v>249</v>
      </c>
      <c r="D124" s="20" t="s">
        <v>248</v>
      </c>
      <c r="E124" s="52" t="s">
        <v>68</v>
      </c>
      <c r="F124" s="20" t="s">
        <v>88</v>
      </c>
      <c r="G124" s="20" t="n">
        <v>21</v>
      </c>
      <c r="H124" s="22" t="s">
        <v>13</v>
      </c>
    </row>
    <row r="125" customFormat="false" ht="15" hidden="false" customHeight="false" outlineLevel="0" collapsed="false">
      <c r="B125" s="20" t="s">
        <v>59</v>
      </c>
      <c r="C125" s="20" t="s">
        <v>261</v>
      </c>
      <c r="D125" s="20" t="s">
        <v>260</v>
      </c>
      <c r="E125" s="52" t="s">
        <v>68</v>
      </c>
      <c r="F125" s="20" t="s">
        <v>88</v>
      </c>
      <c r="G125" s="20" t="n">
        <v>8</v>
      </c>
      <c r="H125" s="22" t="s">
        <v>13</v>
      </c>
    </row>
    <row r="126" customFormat="false" ht="15" hidden="false" customHeight="false" outlineLevel="0" collapsed="false">
      <c r="B126" s="20" t="s">
        <v>59</v>
      </c>
      <c r="C126" s="20" t="s">
        <v>265</v>
      </c>
      <c r="D126" s="20" t="s">
        <v>264</v>
      </c>
      <c r="E126" s="52" t="s">
        <v>68</v>
      </c>
      <c r="F126" s="20" t="s">
        <v>88</v>
      </c>
      <c r="G126" s="20" t="n">
        <v>13</v>
      </c>
      <c r="H126" s="22" t="s">
        <v>13</v>
      </c>
    </row>
    <row r="127" customFormat="false" ht="15" hidden="false" customHeight="false" outlineLevel="0" collapsed="false">
      <c r="B127" s="20" t="s">
        <v>59</v>
      </c>
      <c r="C127" s="20" t="s">
        <v>400</v>
      </c>
      <c r="D127" s="20" t="s">
        <v>399</v>
      </c>
      <c r="E127" s="52" t="s">
        <v>68</v>
      </c>
      <c r="F127" s="20" t="s">
        <v>94</v>
      </c>
      <c r="G127" s="20" t="n">
        <v>8</v>
      </c>
      <c r="H127" s="22" t="s">
        <v>13</v>
      </c>
    </row>
    <row r="128" customFormat="false" ht="15" hidden="false" customHeight="false" outlineLevel="0" collapsed="false">
      <c r="B128" s="20" t="s">
        <v>59</v>
      </c>
      <c r="C128" s="20" t="s">
        <v>404</v>
      </c>
      <c r="D128" s="20" t="s">
        <v>403</v>
      </c>
      <c r="E128" s="51" t="s">
        <v>67</v>
      </c>
      <c r="F128" s="20" t="s">
        <v>88</v>
      </c>
      <c r="G128" s="20" t="n">
        <v>13</v>
      </c>
      <c r="H128" s="22" t="s">
        <v>13</v>
      </c>
    </row>
    <row r="129" customFormat="false" ht="15" hidden="false" customHeight="false" outlineLevel="0" collapsed="false">
      <c r="B129" s="20" t="s">
        <v>59</v>
      </c>
      <c r="C129" s="20" t="s">
        <v>408</v>
      </c>
      <c r="D129" s="20" t="s">
        <v>407</v>
      </c>
      <c r="E129" s="51" t="s">
        <v>67</v>
      </c>
      <c r="F129" s="20" t="s">
        <v>88</v>
      </c>
      <c r="G129" s="20" t="n">
        <v>13</v>
      </c>
      <c r="H129" s="22" t="s">
        <v>13</v>
      </c>
    </row>
    <row r="130" customFormat="false" ht="15" hidden="false" customHeight="false" outlineLevel="0" collapsed="false">
      <c r="B130" s="20" t="s">
        <v>59</v>
      </c>
      <c r="C130" s="20" t="s">
        <v>547</v>
      </c>
      <c r="D130" s="20" t="s">
        <v>546</v>
      </c>
      <c r="E130" s="52" t="s">
        <v>68</v>
      </c>
      <c r="F130" s="20" t="s">
        <v>94</v>
      </c>
      <c r="G130" s="20" t="n">
        <v>13</v>
      </c>
      <c r="H130" s="22" t="s">
        <v>13</v>
      </c>
    </row>
    <row r="131" customFormat="false" ht="15" hidden="false" customHeight="false" outlineLevel="0" collapsed="false">
      <c r="B131" s="20" t="s">
        <v>59</v>
      </c>
      <c r="C131" s="20" t="s">
        <v>147</v>
      </c>
      <c r="D131" s="20" t="s">
        <v>146</v>
      </c>
      <c r="E131" s="52" t="s">
        <v>68</v>
      </c>
      <c r="F131" s="20" t="s">
        <v>94</v>
      </c>
      <c r="G131" s="20" t="n">
        <v>5</v>
      </c>
      <c r="H131" s="22" t="s">
        <v>13</v>
      </c>
    </row>
    <row r="132" customFormat="false" ht="15" hidden="false" customHeight="false" outlineLevel="0" collapsed="false">
      <c r="B132" s="20" t="s">
        <v>59</v>
      </c>
      <c r="C132" s="20" t="s">
        <v>151</v>
      </c>
      <c r="D132" s="20" t="s">
        <v>150</v>
      </c>
      <c r="E132" s="53" t="s">
        <v>69</v>
      </c>
      <c r="F132" s="20" t="s">
        <v>109</v>
      </c>
      <c r="G132" s="20" t="n">
        <v>8</v>
      </c>
      <c r="H132" s="22" t="s">
        <v>13</v>
      </c>
    </row>
    <row r="133" customFormat="false" ht="15" hidden="false" customHeight="false" outlineLevel="0" collapsed="false">
      <c r="B133" s="20" t="s">
        <v>63</v>
      </c>
      <c r="C133" s="20" t="s">
        <v>183</v>
      </c>
      <c r="D133" s="20" t="s">
        <v>182</v>
      </c>
      <c r="E133" s="52" t="s">
        <v>68</v>
      </c>
      <c r="F133" s="20" t="s">
        <v>88</v>
      </c>
      <c r="G133" s="20" t="n">
        <v>13</v>
      </c>
      <c r="H133" s="22" t="s">
        <v>13</v>
      </c>
    </row>
    <row r="134" customFormat="false" ht="15" hidden="false" customHeight="false" outlineLevel="0" collapsed="false">
      <c r="B134" s="20" t="s">
        <v>63</v>
      </c>
      <c r="C134" s="20" t="s">
        <v>275</v>
      </c>
      <c r="D134" s="20" t="s">
        <v>274</v>
      </c>
      <c r="E134" s="52" t="s">
        <v>68</v>
      </c>
      <c r="F134" s="20" t="s">
        <v>88</v>
      </c>
      <c r="G134" s="20" t="n">
        <v>21</v>
      </c>
      <c r="H134" s="22" t="s">
        <v>13</v>
      </c>
    </row>
    <row r="135" customFormat="false" ht="15" hidden="false" customHeight="false" outlineLevel="0" collapsed="false">
      <c r="B135" s="20" t="s">
        <v>63</v>
      </c>
      <c r="C135" s="20" t="s">
        <v>452</v>
      </c>
      <c r="D135" s="20" t="s">
        <v>451</v>
      </c>
      <c r="E135" s="53" t="s">
        <v>69</v>
      </c>
      <c r="F135" s="20" t="s">
        <v>88</v>
      </c>
      <c r="G135" s="20" t="n">
        <v>21</v>
      </c>
      <c r="H135" s="22" t="s">
        <v>13</v>
      </c>
    </row>
    <row r="136" customFormat="false" ht="15" hidden="false" customHeight="false" outlineLevel="0" collapsed="false">
      <c r="B136" s="20" t="s">
        <v>63</v>
      </c>
      <c r="C136" s="20" t="s">
        <v>462</v>
      </c>
      <c r="D136" s="20" t="s">
        <v>461</v>
      </c>
      <c r="E136" s="52" t="s">
        <v>68</v>
      </c>
      <c r="F136" s="20" t="s">
        <v>94</v>
      </c>
      <c r="G136" s="20" t="n">
        <v>5</v>
      </c>
      <c r="H136" s="22" t="s">
        <v>13</v>
      </c>
    </row>
    <row r="137" customFormat="false" ht="15" hidden="false" customHeight="false" outlineLevel="0" collapsed="false">
      <c r="B137" s="20" t="s">
        <v>63</v>
      </c>
      <c r="C137" s="20" t="s">
        <v>552</v>
      </c>
      <c r="D137" s="20" t="s">
        <v>551</v>
      </c>
      <c r="E137" s="53" t="s">
        <v>69</v>
      </c>
      <c r="F137" s="20" t="s">
        <v>88</v>
      </c>
      <c r="G137" s="20" t="n">
        <v>21</v>
      </c>
      <c r="H137" s="22" t="s">
        <v>13</v>
      </c>
    </row>
    <row r="138" customFormat="false" ht="15" hidden="false" customHeight="false" outlineLevel="0" collapsed="false">
      <c r="B138" s="20" t="s">
        <v>63</v>
      </c>
      <c r="C138" s="20" t="s">
        <v>575</v>
      </c>
      <c r="D138" s="20" t="s">
        <v>574</v>
      </c>
      <c r="E138" s="53" t="s">
        <v>69</v>
      </c>
      <c r="F138" s="20" t="s">
        <v>88</v>
      </c>
      <c r="G138" s="20" t="n">
        <v>13</v>
      </c>
      <c r="H138" s="22" t="s">
        <v>13</v>
      </c>
    </row>
    <row r="139" customFormat="false" ht="15" hidden="false" customHeight="false" outlineLevel="0" collapsed="false">
      <c r="B139" s="20" t="s">
        <v>63</v>
      </c>
      <c r="C139" s="20" t="s">
        <v>643</v>
      </c>
      <c r="D139" s="20" t="s">
        <v>642</v>
      </c>
      <c r="E139" s="53" t="s">
        <v>69</v>
      </c>
      <c r="F139" s="20" t="s">
        <v>88</v>
      </c>
      <c r="G139" s="20" t="n">
        <v>34</v>
      </c>
      <c r="H139" s="22" t="s">
        <v>13</v>
      </c>
    </row>
    <row r="140" customFormat="false" ht="15" hidden="false" customHeight="false" outlineLevel="0" collapsed="false">
      <c r="B140" s="20" t="s">
        <v>63</v>
      </c>
      <c r="C140" s="20" t="s">
        <v>648</v>
      </c>
      <c r="D140" s="20" t="s">
        <v>647</v>
      </c>
      <c r="E140" s="53" t="s">
        <v>69</v>
      </c>
      <c r="F140" s="20" t="s">
        <v>88</v>
      </c>
      <c r="G140" s="20" t="n">
        <v>21</v>
      </c>
      <c r="H140" s="22" t="s">
        <v>13</v>
      </c>
    </row>
    <row r="141" customFormat="false" ht="15" hidden="false" customHeight="false" outlineLevel="0" collapsed="false">
      <c r="B141" s="20" t="s">
        <v>63</v>
      </c>
      <c r="C141" s="20" t="s">
        <v>652</v>
      </c>
      <c r="D141" s="20" t="s">
        <v>651</v>
      </c>
      <c r="E141" s="53" t="s">
        <v>69</v>
      </c>
      <c r="F141" s="20" t="s">
        <v>88</v>
      </c>
      <c r="G141" s="20" t="n">
        <v>21</v>
      </c>
      <c r="H141" s="22" t="s">
        <v>13</v>
      </c>
    </row>
    <row r="142" customFormat="false" ht="15" hidden="false" customHeight="false" outlineLevel="0" collapsed="false">
      <c r="B142" s="20" t="s">
        <v>63</v>
      </c>
      <c r="C142" s="20" t="s">
        <v>656</v>
      </c>
      <c r="D142" s="20" t="s">
        <v>655</v>
      </c>
      <c r="E142" s="53" t="s">
        <v>69</v>
      </c>
      <c r="F142" s="20" t="s">
        <v>94</v>
      </c>
      <c r="G142" s="20" t="n">
        <v>8</v>
      </c>
      <c r="H142" s="2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10" min="8" style="0" width="12"/>
  </cols>
  <sheetData>
    <row r="2" customFormat="false" ht="15" hidden="false" customHeight="false" outlineLevel="0" collapsed="false">
      <c r="B2" s="4" t="s">
        <v>72</v>
      </c>
      <c r="C2" s="4" t="s">
        <v>73</v>
      </c>
      <c r="D2" s="4" t="s">
        <v>10</v>
      </c>
      <c r="E2" s="4" t="s">
        <v>12</v>
      </c>
      <c r="F2" s="4" t="s">
        <v>13</v>
      </c>
      <c r="G2" s="4" t="s">
        <v>6</v>
      </c>
      <c r="H2" s="4" t="s">
        <v>667</v>
      </c>
      <c r="I2" s="4" t="s">
        <v>668</v>
      </c>
      <c r="J2" s="4" t="s">
        <v>669</v>
      </c>
    </row>
    <row r="3" customFormat="false" ht="15" hidden="false" customHeight="false" outlineLevel="0" collapsed="false">
      <c r="B3" s="54" t="s">
        <v>84</v>
      </c>
      <c r="C3" s="20" t="s">
        <v>85</v>
      </c>
      <c r="D3" s="20" t="n">
        <f aca="false">COUNTIFS('📦 Product Backlog'!D:D,"F-01-*",'📦 Product Backlog'!I:I,"Done")</f>
        <v>3</v>
      </c>
      <c r="E3" s="20" t="n">
        <f aca="false">COUNTIFS('📦 Product Backlog'!D:D,"F-01-*",'📦 Product Backlog'!I:I,"In Progress")</f>
        <v>0</v>
      </c>
      <c r="F3" s="20" t="n">
        <f aca="false">COUNTIFS('📦 Product Backlog'!D:D,"F-01-*",'📦 Product Backlog'!I:I,"Not Started")</f>
        <v>2</v>
      </c>
      <c r="G3" s="20" t="n">
        <f aca="false">COUNTIF('📦 Product Backlog'!D:D,"F-01-*")</f>
        <v>5</v>
      </c>
      <c r="H3" s="20" t="n">
        <f aca="false">SUMIF('📦 Product Backlog'!D:D,"F-01-*",'📦 Product Backlog'!H:H)</f>
        <v>55</v>
      </c>
      <c r="I3" s="20" t="n">
        <f aca="false">SUMIFS('📦 Product Backlog'!H:H,'📦 Product Backlog'!D:D,"F-01-*",'📦 Product Backlog'!I:I,"Done")</f>
        <v>42</v>
      </c>
      <c r="J3" s="55" t="n">
        <f aca="false">IF(H3=0,0,I3/H3)</f>
        <v>0.763636363636364</v>
      </c>
    </row>
    <row r="4" customFormat="false" ht="15" hidden="false" customHeight="false" outlineLevel="0" collapsed="false">
      <c r="B4" s="54" t="s">
        <v>113</v>
      </c>
      <c r="C4" s="20" t="s">
        <v>114</v>
      </c>
      <c r="D4" s="20" t="n">
        <f aca="false">COUNTIFS('📦 Product Backlog'!D:D,"F-02-*",'📦 Product Backlog'!I:I,"Done")</f>
        <v>4</v>
      </c>
      <c r="E4" s="20" t="n">
        <f aca="false">COUNTIFS('📦 Product Backlog'!D:D,"F-02-*",'📦 Product Backlog'!I:I,"In Progress")</f>
        <v>2</v>
      </c>
      <c r="F4" s="20" t="n">
        <f aca="false">COUNTIFS('📦 Product Backlog'!D:D,"F-02-*",'📦 Product Backlog'!I:I,"Not Started")</f>
        <v>3</v>
      </c>
      <c r="G4" s="20" t="n">
        <f aca="false">COUNTIF('📦 Product Backlog'!D:D,"F-02-*")</f>
        <v>9</v>
      </c>
      <c r="H4" s="20" t="n">
        <f aca="false">SUMIF('📦 Product Backlog'!D:D,"F-02-*",'📦 Product Backlog'!H:H)</f>
        <v>76</v>
      </c>
      <c r="I4" s="20" t="n">
        <f aca="false">SUMIFS('📦 Product Backlog'!H:H,'📦 Product Backlog'!D:D,"F-02-*",'📦 Product Backlog'!I:I,"Done")</f>
        <v>37</v>
      </c>
      <c r="J4" s="55" t="n">
        <f aca="false">IF(H4=0,0,I4/H4)</f>
        <v>0.486842105263158</v>
      </c>
    </row>
    <row r="5" customFormat="false" ht="15" hidden="false" customHeight="false" outlineLevel="0" collapsed="false">
      <c r="B5" s="54" t="s">
        <v>154</v>
      </c>
      <c r="C5" s="20" t="s">
        <v>155</v>
      </c>
      <c r="D5" s="20" t="n">
        <f aca="false">COUNTIFS('📦 Product Backlog'!D:D,"F-03-*",'📦 Product Backlog'!I:I,"Done")</f>
        <v>1</v>
      </c>
      <c r="E5" s="20" t="n">
        <f aca="false">COUNTIFS('📦 Product Backlog'!D:D,"F-03-*",'📦 Product Backlog'!I:I,"In Progress")</f>
        <v>3</v>
      </c>
      <c r="F5" s="20" t="n">
        <f aca="false">COUNTIFS('📦 Product Backlog'!D:D,"F-03-*",'📦 Product Backlog'!I:I,"Not Started")</f>
        <v>6</v>
      </c>
      <c r="G5" s="20" t="n">
        <f aca="false">COUNTIF('📦 Product Backlog'!D:D,"F-03-*")</f>
        <v>10</v>
      </c>
      <c r="H5" s="20" t="n">
        <f aca="false">SUMIF('📦 Product Backlog'!D:D,"F-03-*",'📦 Product Backlog'!H:H)</f>
        <v>102</v>
      </c>
      <c r="I5" s="20" t="n">
        <f aca="false">SUMIFS('📦 Product Backlog'!H:H,'📦 Product Backlog'!D:D,"F-03-*",'📦 Product Backlog'!I:I,"Done")</f>
        <v>5</v>
      </c>
      <c r="J5" s="55" t="n">
        <f aca="false">IF(H5=0,0,I5/H5)</f>
        <v>0.0490196078431373</v>
      </c>
    </row>
    <row r="6" customFormat="false" ht="15" hidden="false" customHeight="false" outlineLevel="0" collapsed="false">
      <c r="B6" s="54" t="s">
        <v>201</v>
      </c>
      <c r="C6" s="20" t="s">
        <v>202</v>
      </c>
      <c r="D6" s="20" t="n">
        <f aca="false">COUNTIFS('📦 Product Backlog'!D:D,"F-04-*",'📦 Product Backlog'!I:I,"Done")</f>
        <v>0</v>
      </c>
      <c r="E6" s="20" t="n">
        <f aca="false">COUNTIFS('📦 Product Backlog'!D:D,"F-04-*",'📦 Product Backlog'!I:I,"In Progress")</f>
        <v>0</v>
      </c>
      <c r="F6" s="20" t="n">
        <f aca="false">COUNTIFS('📦 Product Backlog'!D:D,"F-04-*",'📦 Product Backlog'!I:I,"Not Started")</f>
        <v>5</v>
      </c>
      <c r="G6" s="20" t="n">
        <f aca="false">COUNTIF('📦 Product Backlog'!D:D,"F-04-*")</f>
        <v>5</v>
      </c>
      <c r="H6" s="20" t="n">
        <f aca="false">SUMIF('📦 Product Backlog'!D:D,"F-04-*",'📦 Product Backlog'!H:H)</f>
        <v>65</v>
      </c>
      <c r="I6" s="20" t="n">
        <f aca="false">SUMIFS('📦 Product Backlog'!H:H,'📦 Product Backlog'!D:D,"F-04-*",'📦 Product Backlog'!I:I,"Done")</f>
        <v>0</v>
      </c>
      <c r="J6" s="55" t="n">
        <f aca="false">IF(H6=0,0,I6/H6)</f>
        <v>0</v>
      </c>
    </row>
    <row r="7" customFormat="false" ht="15" hidden="false" customHeight="false" outlineLevel="0" collapsed="false">
      <c r="B7" s="54" t="s">
        <v>226</v>
      </c>
      <c r="C7" s="20" t="s">
        <v>227</v>
      </c>
      <c r="D7" s="20" t="n">
        <f aca="false">COUNTIFS('📦 Product Backlog'!D:D,"F-05-*",'📦 Product Backlog'!I:I,"Done")</f>
        <v>0</v>
      </c>
      <c r="E7" s="20" t="n">
        <f aca="false">COUNTIFS('📦 Product Backlog'!D:D,"F-05-*",'📦 Product Backlog'!I:I,"In Progress")</f>
        <v>2</v>
      </c>
      <c r="F7" s="20" t="n">
        <f aca="false">COUNTIFS('📦 Product Backlog'!D:D,"F-05-*",'📦 Product Backlog'!I:I,"Not Started")</f>
        <v>8</v>
      </c>
      <c r="G7" s="20" t="n">
        <f aca="false">COUNTIF('📦 Product Backlog'!D:D,"F-05-*")</f>
        <v>10</v>
      </c>
      <c r="H7" s="20" t="n">
        <f aca="false">SUMIF('📦 Product Backlog'!D:D,"F-05-*",'📦 Product Backlog'!H:H)</f>
        <v>107</v>
      </c>
      <c r="I7" s="20" t="n">
        <f aca="false">SUMIFS('📦 Product Backlog'!H:H,'📦 Product Backlog'!D:D,"F-05-*",'📦 Product Backlog'!I:I,"Done")</f>
        <v>0</v>
      </c>
      <c r="J7" s="55" t="n">
        <f aca="false">IF(H7=0,0,I7/H7)</f>
        <v>0</v>
      </c>
    </row>
    <row r="8" customFormat="false" ht="15" hidden="false" customHeight="false" outlineLevel="0" collapsed="false">
      <c r="B8" s="54" t="s">
        <v>268</v>
      </c>
      <c r="C8" s="20" t="s">
        <v>269</v>
      </c>
      <c r="D8" s="20" t="n">
        <f aca="false">COUNTIFS('📦 Product Backlog'!D:D,"F-06-*",'📦 Product Backlog'!I:I,"Done")</f>
        <v>0</v>
      </c>
      <c r="E8" s="20" t="n">
        <f aca="false">COUNTIFS('📦 Product Backlog'!D:D,"F-06-*",'📦 Product Backlog'!I:I,"In Progress")</f>
        <v>0</v>
      </c>
      <c r="F8" s="20" t="n">
        <f aca="false">COUNTIFS('📦 Product Backlog'!D:D,"F-06-*",'📦 Product Backlog'!I:I,"Not Started")</f>
        <v>3</v>
      </c>
      <c r="G8" s="20" t="n">
        <f aca="false">COUNTIF('📦 Product Backlog'!D:D,"F-06-*")</f>
        <v>3</v>
      </c>
      <c r="H8" s="20" t="n">
        <f aca="false">SUMIF('📦 Product Backlog'!D:D,"F-06-*",'📦 Product Backlog'!H:H)</f>
        <v>42</v>
      </c>
      <c r="I8" s="20" t="n">
        <f aca="false">SUMIFS('📦 Product Backlog'!H:H,'📦 Product Backlog'!D:D,"F-06-*",'📦 Product Backlog'!I:I,"Done")</f>
        <v>0</v>
      </c>
      <c r="J8" s="55" t="n">
        <f aca="false">IF(H8=0,0,I8/H8)</f>
        <v>0</v>
      </c>
    </row>
    <row r="9" customFormat="false" ht="15" hidden="false" customHeight="false" outlineLevel="0" collapsed="false">
      <c r="B9" s="54" t="s">
        <v>282</v>
      </c>
      <c r="C9" s="20" t="s">
        <v>283</v>
      </c>
      <c r="D9" s="20" t="n">
        <f aca="false">COUNTIFS('📦 Product Backlog'!D:D,"F-07-*",'📦 Product Backlog'!I:I,"Done")</f>
        <v>1</v>
      </c>
      <c r="E9" s="20" t="n">
        <f aca="false">COUNTIFS('📦 Product Backlog'!D:D,"F-07-*",'📦 Product Backlog'!I:I,"In Progress")</f>
        <v>0</v>
      </c>
      <c r="F9" s="20" t="n">
        <f aca="false">COUNTIFS('📦 Product Backlog'!D:D,"F-07-*",'📦 Product Backlog'!I:I,"Not Started")</f>
        <v>9</v>
      </c>
      <c r="G9" s="20" t="n">
        <f aca="false">COUNTIF('📦 Product Backlog'!D:D,"F-07-*")</f>
        <v>10</v>
      </c>
      <c r="H9" s="20" t="n">
        <f aca="false">SUMIF('📦 Product Backlog'!D:D,"F-07-*",'📦 Product Backlog'!H:H)</f>
        <v>101</v>
      </c>
      <c r="I9" s="20" t="n">
        <f aca="false">SUMIFS('📦 Product Backlog'!H:H,'📦 Product Backlog'!D:D,"F-07-*",'📦 Product Backlog'!I:I,"Done")</f>
        <v>5</v>
      </c>
      <c r="J9" s="55" t="n">
        <f aca="false">IF(H9=0,0,I9/H9)</f>
        <v>0.0495049504950495</v>
      </c>
    </row>
    <row r="10" customFormat="false" ht="15" hidden="false" customHeight="false" outlineLevel="0" collapsed="false">
      <c r="B10" s="54" t="s">
        <v>326</v>
      </c>
      <c r="C10" s="20" t="s">
        <v>327</v>
      </c>
      <c r="D10" s="20" t="n">
        <f aca="false">COUNTIFS('📦 Product Backlog'!D:D,"F-08-*",'📦 Product Backlog'!I:I,"Done")</f>
        <v>1</v>
      </c>
      <c r="E10" s="20" t="n">
        <f aca="false">COUNTIFS('📦 Product Backlog'!D:D,"F-08-*",'📦 Product Backlog'!I:I,"In Progress")</f>
        <v>2</v>
      </c>
      <c r="F10" s="20" t="n">
        <f aca="false">COUNTIFS('📦 Product Backlog'!D:D,"F-08-*",'📦 Product Backlog'!I:I,"Not Started")</f>
        <v>5</v>
      </c>
      <c r="G10" s="20" t="n">
        <f aca="false">COUNTIF('📦 Product Backlog'!D:D,"F-08-*")</f>
        <v>8</v>
      </c>
      <c r="H10" s="20" t="n">
        <f aca="false">SUMIF('📦 Product Backlog'!D:D,"F-08-*",'📦 Product Backlog'!H:H)</f>
        <v>89</v>
      </c>
      <c r="I10" s="20" t="n">
        <f aca="false">SUMIFS('📦 Product Backlog'!H:H,'📦 Product Backlog'!D:D,"F-08-*",'📦 Product Backlog'!I:I,"Done")</f>
        <v>13</v>
      </c>
      <c r="J10" s="55" t="n">
        <f aca="false">IF(H10=0,0,I10/H10)</f>
        <v>0.146067415730337</v>
      </c>
    </row>
    <row r="11" customFormat="false" ht="15" hidden="false" customHeight="false" outlineLevel="0" collapsed="false">
      <c r="B11" s="54" t="s">
        <v>363</v>
      </c>
      <c r="C11" s="20" t="s">
        <v>364</v>
      </c>
      <c r="D11" s="20" t="n">
        <f aca="false">COUNTIFS('📦 Product Backlog'!D:D,"F-09-*",'📦 Product Backlog'!I:I,"Done")</f>
        <v>0</v>
      </c>
      <c r="E11" s="20" t="n">
        <f aca="false">COUNTIFS('📦 Product Backlog'!D:D,"F-09-*",'📦 Product Backlog'!I:I,"In Progress")</f>
        <v>0</v>
      </c>
      <c r="F11" s="20" t="n">
        <f aca="false">COUNTIFS('📦 Product Backlog'!D:D,"F-09-*",'📦 Product Backlog'!I:I,"Not Started")</f>
        <v>3</v>
      </c>
      <c r="G11" s="20" t="n">
        <f aca="false">COUNTIF('📦 Product Backlog'!D:D,"F-09-*")</f>
        <v>3</v>
      </c>
      <c r="H11" s="20" t="n">
        <f aca="false">SUMIF('📦 Product Backlog'!D:D,"F-09-*",'📦 Product Backlog'!H:H)</f>
        <v>34</v>
      </c>
      <c r="I11" s="20" t="n">
        <f aca="false">SUMIFS('📦 Product Backlog'!H:H,'📦 Product Backlog'!D:D,"F-09-*",'📦 Product Backlog'!I:I,"Done")</f>
        <v>0</v>
      </c>
      <c r="J11" s="55" t="n">
        <f aca="false">IF(H11=0,0,I11/H11)</f>
        <v>0</v>
      </c>
    </row>
    <row r="12" customFormat="false" ht="15" hidden="false" customHeight="false" outlineLevel="0" collapsed="false">
      <c r="B12" s="54" t="s">
        <v>378</v>
      </c>
      <c r="C12" s="20" t="s">
        <v>379</v>
      </c>
      <c r="D12" s="20" t="n">
        <f aca="false">COUNTIFS('📦 Product Backlog'!D:D,"F-10-*",'📦 Product Backlog'!I:I,"Done")</f>
        <v>0</v>
      </c>
      <c r="E12" s="20" t="n">
        <f aca="false">COUNTIFS('📦 Product Backlog'!D:D,"F-10-*",'📦 Product Backlog'!I:I,"In Progress")</f>
        <v>0</v>
      </c>
      <c r="F12" s="20" t="n">
        <f aca="false">COUNTIFS('📦 Product Backlog'!D:D,"F-10-*",'📦 Product Backlog'!I:I,"Not Started")</f>
        <v>4</v>
      </c>
      <c r="G12" s="20" t="n">
        <f aca="false">COUNTIF('📦 Product Backlog'!D:D,"F-10-*")</f>
        <v>4</v>
      </c>
      <c r="H12" s="20" t="n">
        <f aca="false">SUMIF('📦 Product Backlog'!D:D,"F-10-*",'📦 Product Backlog'!H:H)</f>
        <v>42</v>
      </c>
      <c r="I12" s="20" t="n">
        <f aca="false">SUMIFS('📦 Product Backlog'!H:H,'📦 Product Backlog'!D:D,"F-10-*",'📦 Product Backlog'!I:I,"Done")</f>
        <v>0</v>
      </c>
      <c r="J12" s="55" t="n">
        <f aca="false">IF(H12=0,0,I12/H12)</f>
        <v>0</v>
      </c>
    </row>
    <row r="13" customFormat="false" ht="15" hidden="false" customHeight="false" outlineLevel="0" collapsed="false">
      <c r="B13" s="54" t="s">
        <v>397</v>
      </c>
      <c r="C13" s="20" t="s">
        <v>398</v>
      </c>
      <c r="D13" s="20" t="n">
        <f aca="false">COUNTIFS('📦 Product Backlog'!D:D,"F-11-*",'📦 Product Backlog'!I:I,"Done")</f>
        <v>0</v>
      </c>
      <c r="E13" s="20" t="n">
        <f aca="false">COUNTIFS('📦 Product Backlog'!D:D,"F-11-*",'📦 Product Backlog'!I:I,"In Progress")</f>
        <v>0</v>
      </c>
      <c r="F13" s="20" t="n">
        <f aca="false">COUNTIFS('📦 Product Backlog'!D:D,"F-11-*",'📦 Product Backlog'!I:I,"Not Started")</f>
        <v>3</v>
      </c>
      <c r="G13" s="20" t="n">
        <f aca="false">COUNTIF('📦 Product Backlog'!D:D,"F-11-*")</f>
        <v>3</v>
      </c>
      <c r="H13" s="20" t="n">
        <f aca="false">SUMIF('📦 Product Backlog'!D:D,"F-11-*",'📦 Product Backlog'!H:H)</f>
        <v>34</v>
      </c>
      <c r="I13" s="20" t="n">
        <f aca="false">SUMIFS('📦 Product Backlog'!H:H,'📦 Product Backlog'!D:D,"F-11-*",'📦 Product Backlog'!I:I,"Done")</f>
        <v>0</v>
      </c>
      <c r="J13" s="55" t="n">
        <f aca="false">IF(H13=0,0,I13/H13)</f>
        <v>0</v>
      </c>
    </row>
    <row r="14" customFormat="false" ht="15" hidden="false" customHeight="false" outlineLevel="0" collapsed="false">
      <c r="B14" s="54" t="s">
        <v>411</v>
      </c>
      <c r="C14" s="20" t="s">
        <v>412</v>
      </c>
      <c r="D14" s="20" t="n">
        <f aca="false">COUNTIFS('📦 Product Backlog'!D:D,"F-12-*",'📦 Product Backlog'!I:I,"Done")</f>
        <v>0</v>
      </c>
      <c r="E14" s="20" t="n">
        <f aca="false">COUNTIFS('📦 Product Backlog'!D:D,"F-12-*",'📦 Product Backlog'!I:I,"In Progress")</f>
        <v>0</v>
      </c>
      <c r="F14" s="20" t="n">
        <f aca="false">COUNTIFS('📦 Product Backlog'!D:D,"F-12-*",'📦 Product Backlog'!I:I,"Not Started")</f>
        <v>2</v>
      </c>
      <c r="G14" s="20" t="n">
        <f aca="false">COUNTIF('📦 Product Backlog'!D:D,"F-12-*")</f>
        <v>2</v>
      </c>
      <c r="H14" s="20" t="n">
        <f aca="false">SUMIF('📦 Product Backlog'!D:D,"F-12-*",'📦 Product Backlog'!H:H)</f>
        <v>13</v>
      </c>
      <c r="I14" s="20" t="n">
        <f aca="false">SUMIFS('📦 Product Backlog'!H:H,'📦 Product Backlog'!D:D,"F-12-*",'📦 Product Backlog'!I:I,"Done")</f>
        <v>0</v>
      </c>
      <c r="J14" s="55" t="n">
        <f aca="false">IF(H14=0,0,I14/H14)</f>
        <v>0</v>
      </c>
    </row>
    <row r="15" customFormat="false" ht="15" hidden="false" customHeight="false" outlineLevel="0" collapsed="false">
      <c r="B15" s="54" t="s">
        <v>421</v>
      </c>
      <c r="C15" s="20" t="s">
        <v>422</v>
      </c>
      <c r="D15" s="20" t="n">
        <f aca="false">COUNTIFS('📦 Product Backlog'!D:D,"F-13-*",'📦 Product Backlog'!I:I,"Done")</f>
        <v>1</v>
      </c>
      <c r="E15" s="20" t="n">
        <f aca="false">COUNTIFS('📦 Product Backlog'!D:D,"F-13-*",'📦 Product Backlog'!I:I,"In Progress")</f>
        <v>0</v>
      </c>
      <c r="F15" s="20" t="n">
        <f aca="false">COUNTIFS('📦 Product Backlog'!D:D,"F-13-*",'📦 Product Backlog'!I:I,"Not Started")</f>
        <v>2</v>
      </c>
      <c r="G15" s="20" t="n">
        <f aca="false">COUNTIF('📦 Product Backlog'!D:D,"F-13-*")</f>
        <v>3</v>
      </c>
      <c r="H15" s="20" t="n">
        <f aca="false">SUMIF('📦 Product Backlog'!D:D,"F-13-*",'📦 Product Backlog'!H:H)</f>
        <v>29</v>
      </c>
      <c r="I15" s="20" t="n">
        <f aca="false">SUMIFS('📦 Product Backlog'!H:H,'📦 Product Backlog'!D:D,"F-13-*",'📦 Product Backlog'!I:I,"Done")</f>
        <v>8</v>
      </c>
      <c r="J15" s="55" t="n">
        <f aca="false">IF(H15=0,0,I15/H15)</f>
        <v>0.275862068965517</v>
      </c>
    </row>
    <row r="16" customFormat="false" ht="15" hidden="false" customHeight="false" outlineLevel="0" collapsed="false">
      <c r="B16" s="54" t="s">
        <v>435</v>
      </c>
      <c r="C16" s="20" t="s">
        <v>436</v>
      </c>
      <c r="D16" s="20" t="n">
        <f aca="false">COUNTIFS('📦 Product Backlog'!D:D,"F-14-*",'📦 Product Backlog'!I:I,"Done")</f>
        <v>1</v>
      </c>
      <c r="E16" s="20" t="n">
        <f aca="false">COUNTIFS('📦 Product Backlog'!D:D,"F-14-*",'📦 Product Backlog'!I:I,"In Progress")</f>
        <v>0</v>
      </c>
      <c r="F16" s="20" t="n">
        <f aca="false">COUNTIFS('📦 Product Backlog'!D:D,"F-14-*",'📦 Product Backlog'!I:I,"Not Started")</f>
        <v>8</v>
      </c>
      <c r="G16" s="20" t="n">
        <f aca="false">COUNTIF('📦 Product Backlog'!D:D,"F-14-*")</f>
        <v>9</v>
      </c>
      <c r="H16" s="20" t="n">
        <f aca="false">SUMIF('📦 Product Backlog'!D:D,"F-14-*",'📦 Product Backlog'!H:H)</f>
        <v>84</v>
      </c>
      <c r="I16" s="20" t="n">
        <f aca="false">SUMIFS('📦 Product Backlog'!H:H,'📦 Product Backlog'!D:D,"F-14-*",'📦 Product Backlog'!I:I,"Done")</f>
        <v>8</v>
      </c>
      <c r="J16" s="55" t="n">
        <f aca="false">IF(H16=0,0,I16/H16)</f>
        <v>0.0952380952380952</v>
      </c>
    </row>
    <row r="17" customFormat="false" ht="15" hidden="false" customHeight="false" outlineLevel="0" collapsed="false">
      <c r="B17" s="54" t="s">
        <v>478</v>
      </c>
      <c r="C17" s="20" t="s">
        <v>479</v>
      </c>
      <c r="D17" s="20" t="n">
        <f aca="false">COUNTIFS('📦 Product Backlog'!D:D,"F-15-*",'📦 Product Backlog'!I:I,"Done")</f>
        <v>3</v>
      </c>
      <c r="E17" s="20" t="n">
        <f aca="false">COUNTIFS('📦 Product Backlog'!D:D,"F-15-*",'📦 Product Backlog'!I:I,"In Progress")</f>
        <v>1</v>
      </c>
      <c r="F17" s="20" t="n">
        <f aca="false">COUNTIFS('📦 Product Backlog'!D:D,"F-15-*",'📦 Product Backlog'!I:I,"Not Started")</f>
        <v>2</v>
      </c>
      <c r="G17" s="20" t="n">
        <f aca="false">COUNTIF('📦 Product Backlog'!D:D,"F-15-*")</f>
        <v>6</v>
      </c>
      <c r="H17" s="20" t="n">
        <f aca="false">SUMIF('📦 Product Backlog'!D:D,"F-15-*",'📦 Product Backlog'!H:H)</f>
        <v>63</v>
      </c>
      <c r="I17" s="20" t="n">
        <f aca="false">SUMIFS('📦 Product Backlog'!H:H,'📦 Product Backlog'!D:D,"F-15-*",'📦 Product Backlog'!I:I,"Done")</f>
        <v>42</v>
      </c>
      <c r="J17" s="55" t="n">
        <f aca="false">IF(H17=0,0,I17/H17)</f>
        <v>0.666666666666667</v>
      </c>
    </row>
    <row r="18" customFormat="false" ht="15" hidden="false" customHeight="false" outlineLevel="0" collapsed="false">
      <c r="B18" s="54" t="s">
        <v>503</v>
      </c>
      <c r="C18" s="20" t="s">
        <v>504</v>
      </c>
      <c r="D18" s="20" t="n">
        <f aca="false">COUNTIFS('📦 Product Backlog'!D:D,"F-16-*",'📦 Product Backlog'!I:I,"Done")</f>
        <v>0</v>
      </c>
      <c r="E18" s="20" t="n">
        <f aca="false">COUNTIFS('📦 Product Backlog'!D:D,"F-16-*",'📦 Product Backlog'!I:I,"In Progress")</f>
        <v>0</v>
      </c>
      <c r="F18" s="20" t="n">
        <f aca="false">COUNTIFS('📦 Product Backlog'!D:D,"F-16-*",'📦 Product Backlog'!I:I,"Not Started")</f>
        <v>5</v>
      </c>
      <c r="G18" s="20" t="n">
        <f aca="false">COUNTIF('📦 Product Backlog'!D:D,"F-16-*")</f>
        <v>5</v>
      </c>
      <c r="H18" s="20" t="n">
        <f aca="false">SUMIF('📦 Product Backlog'!D:D,"F-16-*",'📦 Product Backlog'!H:H)</f>
        <v>55</v>
      </c>
      <c r="I18" s="20" t="n">
        <f aca="false">SUMIFS('📦 Product Backlog'!H:H,'📦 Product Backlog'!D:D,"F-16-*",'📦 Product Backlog'!I:I,"Done")</f>
        <v>0</v>
      </c>
      <c r="J18" s="55" t="n">
        <f aca="false">IF(H18=0,0,I18/H18)</f>
        <v>0</v>
      </c>
    </row>
    <row r="19" customFormat="false" ht="15" hidden="false" customHeight="false" outlineLevel="0" collapsed="false">
      <c r="B19" s="54" t="s">
        <v>525</v>
      </c>
      <c r="C19" s="20" t="s">
        <v>526</v>
      </c>
      <c r="D19" s="20" t="n">
        <f aca="false">COUNTIFS('📦 Product Backlog'!D:D,"F-17-*",'📦 Product Backlog'!I:I,"Done")</f>
        <v>0</v>
      </c>
      <c r="E19" s="20" t="n">
        <f aca="false">COUNTIFS('📦 Product Backlog'!D:D,"F-17-*",'📦 Product Backlog'!I:I,"In Progress")</f>
        <v>0</v>
      </c>
      <c r="F19" s="20" t="n">
        <f aca="false">COUNTIFS('📦 Product Backlog'!D:D,"F-17-*",'📦 Product Backlog'!I:I,"Not Started")</f>
        <v>6</v>
      </c>
      <c r="G19" s="20" t="n">
        <f aca="false">COUNTIF('📦 Product Backlog'!D:D,"F-17-*")</f>
        <v>6</v>
      </c>
      <c r="H19" s="20" t="n">
        <f aca="false">SUMIF('📦 Product Backlog'!D:D,"F-17-*",'📦 Product Backlog'!H:H)</f>
        <v>68</v>
      </c>
      <c r="I19" s="20" t="n">
        <f aca="false">SUMIFS('📦 Product Backlog'!H:H,'📦 Product Backlog'!D:D,"F-17-*",'📦 Product Backlog'!I:I,"Done")</f>
        <v>0</v>
      </c>
      <c r="J19" s="55" t="n">
        <f aca="false">IF(H19=0,0,I19/H19)</f>
        <v>0</v>
      </c>
    </row>
    <row r="20" customFormat="false" ht="15" hidden="false" customHeight="false" outlineLevel="0" collapsed="false">
      <c r="B20" s="54" t="s">
        <v>556</v>
      </c>
      <c r="C20" s="20" t="s">
        <v>557</v>
      </c>
      <c r="D20" s="20" t="n">
        <f aca="false">COUNTIFS('📦 Product Backlog'!D:D,"F-18-*",'📦 Product Backlog'!I:I,"Done")</f>
        <v>0</v>
      </c>
      <c r="E20" s="20" t="n">
        <f aca="false">COUNTIFS('📦 Product Backlog'!D:D,"F-18-*",'📦 Product Backlog'!I:I,"In Progress")</f>
        <v>0</v>
      </c>
      <c r="F20" s="20" t="n">
        <f aca="false">COUNTIFS('📦 Product Backlog'!D:D,"F-18-*",'📦 Product Backlog'!I:I,"Not Started")</f>
        <v>5</v>
      </c>
      <c r="G20" s="20" t="n">
        <f aca="false">COUNTIF('📦 Product Backlog'!D:D,"F-18-*")</f>
        <v>5</v>
      </c>
      <c r="H20" s="20" t="n">
        <f aca="false">SUMIF('📦 Product Backlog'!D:D,"F-18-*",'📦 Product Backlog'!H:H)</f>
        <v>42</v>
      </c>
      <c r="I20" s="20" t="n">
        <f aca="false">SUMIFS('📦 Product Backlog'!H:H,'📦 Product Backlog'!D:D,"F-18-*",'📦 Product Backlog'!I:I,"Done")</f>
        <v>0</v>
      </c>
      <c r="J20" s="55" t="n">
        <f aca="false">IF(H20=0,0,I20/H20)</f>
        <v>0</v>
      </c>
    </row>
    <row r="21" customFormat="false" ht="15" hidden="false" customHeight="false" outlineLevel="0" collapsed="false">
      <c r="B21" s="54" t="s">
        <v>578</v>
      </c>
      <c r="C21" s="20" t="s">
        <v>579</v>
      </c>
      <c r="D21" s="20" t="n">
        <f aca="false">COUNTIFS('📦 Product Backlog'!D:D,"F-19-*",'📦 Product Backlog'!I:I,"Done")</f>
        <v>7</v>
      </c>
      <c r="E21" s="20" t="n">
        <f aca="false">COUNTIFS('📦 Product Backlog'!D:D,"F-19-*",'📦 Product Backlog'!I:I,"In Progress")</f>
        <v>1</v>
      </c>
      <c r="F21" s="20" t="n">
        <f aca="false">COUNTIFS('📦 Product Backlog'!D:D,"F-19-*",'📦 Product Backlog'!I:I,"Not Started")</f>
        <v>1</v>
      </c>
      <c r="G21" s="20" t="n">
        <f aca="false">COUNTIF('📦 Product Backlog'!D:D,"F-19-*")</f>
        <v>9</v>
      </c>
      <c r="H21" s="20" t="n">
        <f aca="false">SUMIF('📦 Product Backlog'!D:D,"F-19-*",'📦 Product Backlog'!H:H)</f>
        <v>60</v>
      </c>
      <c r="I21" s="20" t="n">
        <f aca="false">SUMIFS('📦 Product Backlog'!H:H,'📦 Product Backlog'!D:D,"F-19-*",'📦 Product Backlog'!I:I,"Done")</f>
        <v>44</v>
      </c>
      <c r="J21" s="55" t="n">
        <f aca="false">IF(H21=0,0,I21/H21)</f>
        <v>0.733333333333333</v>
      </c>
    </row>
    <row r="22" customFormat="false" ht="15" hidden="false" customHeight="false" outlineLevel="0" collapsed="false">
      <c r="B22" s="54" t="s">
        <v>616</v>
      </c>
      <c r="C22" s="20" t="s">
        <v>617</v>
      </c>
      <c r="D22" s="20" t="n">
        <f aca="false">COUNTIFS('📦 Product Backlog'!D:D,"F-20-*",'📦 Product Backlog'!I:I,"Done")</f>
        <v>0</v>
      </c>
      <c r="E22" s="20" t="n">
        <f aca="false">COUNTIFS('📦 Product Backlog'!D:D,"F-20-*",'📦 Product Backlog'!I:I,"In Progress")</f>
        <v>0</v>
      </c>
      <c r="F22" s="20" t="n">
        <f aca="false">COUNTIFS('📦 Product Backlog'!D:D,"F-20-*",'📦 Product Backlog'!I:I,"Not Started")</f>
        <v>5</v>
      </c>
      <c r="G22" s="20" t="n">
        <f aca="false">COUNTIF('📦 Product Backlog'!D:D,"F-20-*")</f>
        <v>5</v>
      </c>
      <c r="H22" s="20" t="n">
        <f aca="false">SUMIF('📦 Product Backlog'!D:D,"F-20-*",'📦 Product Backlog'!H:H)</f>
        <v>47</v>
      </c>
      <c r="I22" s="20" t="n">
        <f aca="false">SUMIFS('📦 Product Backlog'!H:H,'📦 Product Backlog'!D:D,"F-20-*",'📦 Product Backlog'!I:I,"Done")</f>
        <v>0</v>
      </c>
      <c r="J22" s="55" t="n">
        <f aca="false">IF(H22=0,0,I22/H22)</f>
        <v>0</v>
      </c>
    </row>
    <row r="23" customFormat="false" ht="15" hidden="false" customHeight="false" outlineLevel="0" collapsed="false">
      <c r="B23" s="54" t="s">
        <v>640</v>
      </c>
      <c r="C23" s="20" t="s">
        <v>641</v>
      </c>
      <c r="D23" s="20" t="n">
        <f aca="false">COUNTIFS('📦 Product Backlog'!D:D,"F-21-*",'📦 Product Backlog'!I:I,"Done")</f>
        <v>0</v>
      </c>
      <c r="E23" s="20" t="n">
        <f aca="false">COUNTIFS('📦 Product Backlog'!D:D,"F-21-*",'📦 Product Backlog'!I:I,"In Progress")</f>
        <v>0</v>
      </c>
      <c r="F23" s="20" t="n">
        <f aca="false">COUNTIFS('📦 Product Backlog'!D:D,"F-21-*",'📦 Product Backlog'!I:I,"Not Started")</f>
        <v>4</v>
      </c>
      <c r="G23" s="20" t="n">
        <f aca="false">COUNTIF('📦 Product Backlog'!D:D,"F-21-*")</f>
        <v>4</v>
      </c>
      <c r="H23" s="20" t="n">
        <f aca="false">SUMIF('📦 Product Backlog'!D:D,"F-21-*",'📦 Product Backlog'!H:H)</f>
        <v>84</v>
      </c>
      <c r="I23" s="20" t="n">
        <f aca="false">SUMIFS('📦 Product Backlog'!H:H,'📦 Product Backlog'!D:D,"F-21-*",'📦 Product Backlog'!I:I,"Done")</f>
        <v>0</v>
      </c>
      <c r="J23" s="55" t="n">
        <f aca="false">IF(H23=0,0,I23/H23)</f>
        <v>0</v>
      </c>
    </row>
    <row r="24" customFormat="false" ht="15" hidden="false" customHeight="false" outlineLevel="0" collapsed="false">
      <c r="B24" s="43" t="s">
        <v>665</v>
      </c>
      <c r="C24" s="44"/>
      <c r="D24" s="43" t="n">
        <f aca="false">SUM(D3:D23)</f>
        <v>22</v>
      </c>
      <c r="E24" s="43" t="n">
        <f aca="false">SUM(E3:E23)</f>
        <v>11</v>
      </c>
      <c r="F24" s="43" t="n">
        <f aca="false">SUM(F3:F23)</f>
        <v>91</v>
      </c>
      <c r="G24" s="43" t="n">
        <f aca="false">SUM(G3:G23)</f>
        <v>124</v>
      </c>
      <c r="H24" s="43" t="n">
        <f aca="false">SUM(H3:H23)</f>
        <v>1292</v>
      </c>
      <c r="I24" s="43" t="n">
        <f aca="false">SUM(I3:I23)</f>
        <v>204</v>
      </c>
      <c r="J24" s="56" t="n">
        <f aca="false">I24/H24</f>
        <v>0.157894736842105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2026-07-04T05:18:33Z</dcterms:created>
  <dc:creator>openpyxl</dc:creator>
  <dc:description/>
  <dc:language>en-US</dc:language>
  <cp:lastModifiedBy/>
  <dcterms:modified xsi:type="dcterms:W3CDTF">2026-07-04T05:18:33Z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